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Excelで学ぶアート数学\Excelで学ぶアート数学-ストリング・アート入門-\githubアップロード用\"/>
    </mc:Choice>
  </mc:AlternateContent>
  <xr:revisionPtr revIDLastSave="0" documentId="13_ncr:1_{EB1F0CE3-26D6-4CD8-8AA7-65A40AC5C986}" xr6:coauthVersionLast="45" xr6:coauthVersionMax="45" xr10:uidLastSave="{00000000-0000-0000-0000-000000000000}"/>
  <bookViews>
    <workbookView xWindow="-108" yWindow="-108" windowWidth="23256" windowHeight="12576" xr2:uid="{28304316-2605-4BEA-B8F1-7AD397F0BDB5}"/>
  </bookViews>
  <sheets>
    <sheet name="演習問題１（データを描く）" sheetId="1" r:id="rId1"/>
    <sheet name="【解答】演習問題１（データを描く）" sheetId="8" state="hidden" r:id="rId2"/>
    <sheet name="演習問題２（sin, cos）" sheetId="2" r:id="rId3"/>
    <sheet name="演習問題３（正多角形を描く）" sheetId="3" r:id="rId4"/>
    <sheet name="【解答】演習問題３（正多角形を描く）" sheetId="9" state="hidden" r:id="rId5"/>
    <sheet name="演習問題４（円に近づける）" sheetId="4" r:id="rId6"/>
    <sheet name="【解答】演習問題４（円に近づける）" sheetId="10" state="hidden" r:id="rId7"/>
    <sheet name="演習問題５（ストリングアート）" sheetId="6" r:id="rId8"/>
    <sheet name="【解答】演習問題５（ストリングアート）" sheetId="11" state="hidden" r:id="rId9"/>
    <sheet name="付録（素数曼荼羅）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6" l="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10" i="3" l="1"/>
  <c r="C10" i="3"/>
  <c r="I69" i="7" l="1"/>
  <c r="N69" i="7"/>
  <c r="M69" i="7"/>
  <c r="L69" i="7"/>
  <c r="K69" i="7"/>
  <c r="H69" i="7"/>
  <c r="G69" i="7"/>
  <c r="F69" i="7"/>
  <c r="E69" i="7"/>
  <c r="D69" i="7"/>
  <c r="C69" i="7"/>
  <c r="N68" i="7"/>
  <c r="M68" i="7"/>
  <c r="L68" i="7"/>
  <c r="K68" i="7"/>
  <c r="H68" i="7"/>
  <c r="G68" i="7"/>
  <c r="F68" i="7"/>
  <c r="E68" i="7"/>
  <c r="D68" i="7"/>
  <c r="C68" i="7"/>
  <c r="N67" i="7"/>
  <c r="M67" i="7"/>
  <c r="L67" i="7"/>
  <c r="K67" i="7"/>
  <c r="H67" i="7"/>
  <c r="G67" i="7"/>
  <c r="F67" i="7"/>
  <c r="E67" i="7"/>
  <c r="D67" i="7"/>
  <c r="C67" i="7"/>
  <c r="N66" i="7"/>
  <c r="M66" i="7"/>
  <c r="L66" i="7"/>
  <c r="K66" i="7"/>
  <c r="H66" i="7"/>
  <c r="G66" i="7"/>
  <c r="F66" i="7"/>
  <c r="E66" i="7"/>
  <c r="D66" i="7"/>
  <c r="C66" i="7"/>
  <c r="N65" i="7"/>
  <c r="M65" i="7"/>
  <c r="L65" i="7"/>
  <c r="K65" i="7"/>
  <c r="H65" i="7"/>
  <c r="G65" i="7"/>
  <c r="F65" i="7"/>
  <c r="E65" i="7"/>
  <c r="D65" i="7"/>
  <c r="C65" i="7"/>
  <c r="N64" i="7"/>
  <c r="M64" i="7"/>
  <c r="L64" i="7"/>
  <c r="K64" i="7"/>
  <c r="H64" i="7"/>
  <c r="G64" i="7"/>
  <c r="F64" i="7"/>
  <c r="E64" i="7"/>
  <c r="D64" i="7"/>
  <c r="C64" i="7"/>
  <c r="N63" i="7"/>
  <c r="M63" i="7"/>
  <c r="L63" i="7"/>
  <c r="K63" i="7"/>
  <c r="H63" i="7"/>
  <c r="G63" i="7"/>
  <c r="F63" i="7"/>
  <c r="E63" i="7"/>
  <c r="D63" i="7"/>
  <c r="C63" i="7"/>
  <c r="N62" i="7"/>
  <c r="M62" i="7"/>
  <c r="L62" i="7"/>
  <c r="K62" i="7"/>
  <c r="H62" i="7"/>
  <c r="G62" i="7"/>
  <c r="F62" i="7"/>
  <c r="E62" i="7"/>
  <c r="D62" i="7"/>
  <c r="C62" i="7"/>
  <c r="N61" i="7"/>
  <c r="M61" i="7"/>
  <c r="L61" i="7"/>
  <c r="K61" i="7"/>
  <c r="H61" i="7"/>
  <c r="G61" i="7"/>
  <c r="F61" i="7"/>
  <c r="E61" i="7"/>
  <c r="D61" i="7"/>
  <c r="C61" i="7"/>
  <c r="N60" i="7"/>
  <c r="M60" i="7"/>
  <c r="L60" i="7"/>
  <c r="K60" i="7"/>
  <c r="H60" i="7"/>
  <c r="G60" i="7"/>
  <c r="F60" i="7"/>
  <c r="E60" i="7"/>
  <c r="D60" i="7"/>
  <c r="C60" i="7"/>
  <c r="N59" i="7"/>
  <c r="M59" i="7"/>
  <c r="L59" i="7"/>
  <c r="K59" i="7"/>
  <c r="H59" i="7"/>
  <c r="G59" i="7"/>
  <c r="F59" i="7"/>
  <c r="E59" i="7"/>
  <c r="D59" i="7"/>
  <c r="C59" i="7"/>
  <c r="N58" i="7"/>
  <c r="M58" i="7"/>
  <c r="L58" i="7"/>
  <c r="K58" i="7"/>
  <c r="H58" i="7"/>
  <c r="G58" i="7"/>
  <c r="F58" i="7"/>
  <c r="E58" i="7"/>
  <c r="D58" i="7"/>
  <c r="C58" i="7"/>
  <c r="N57" i="7"/>
  <c r="M57" i="7"/>
  <c r="L57" i="7"/>
  <c r="K57" i="7"/>
  <c r="H57" i="7"/>
  <c r="G57" i="7"/>
  <c r="F57" i="7"/>
  <c r="E57" i="7"/>
  <c r="D57" i="7"/>
  <c r="C57" i="7"/>
  <c r="N56" i="7"/>
  <c r="M56" i="7"/>
  <c r="L56" i="7"/>
  <c r="K56" i="7"/>
  <c r="H56" i="7"/>
  <c r="G56" i="7"/>
  <c r="F56" i="7"/>
  <c r="E56" i="7"/>
  <c r="D56" i="7"/>
  <c r="C56" i="7"/>
  <c r="N55" i="7"/>
  <c r="M55" i="7"/>
  <c r="L55" i="7"/>
  <c r="K55" i="7"/>
  <c r="H55" i="7"/>
  <c r="G55" i="7"/>
  <c r="F55" i="7"/>
  <c r="E55" i="7"/>
  <c r="D55" i="7"/>
  <c r="C55" i="7"/>
  <c r="N54" i="7"/>
  <c r="M54" i="7"/>
  <c r="L54" i="7"/>
  <c r="K54" i="7"/>
  <c r="H54" i="7"/>
  <c r="G54" i="7"/>
  <c r="F54" i="7"/>
  <c r="E54" i="7"/>
  <c r="D54" i="7"/>
  <c r="C54" i="7"/>
  <c r="N53" i="7"/>
  <c r="M53" i="7"/>
  <c r="L53" i="7"/>
  <c r="K53" i="7"/>
  <c r="H53" i="7"/>
  <c r="G53" i="7"/>
  <c r="F53" i="7"/>
  <c r="E53" i="7"/>
  <c r="D53" i="7"/>
  <c r="C53" i="7"/>
  <c r="N52" i="7"/>
  <c r="M52" i="7"/>
  <c r="L52" i="7"/>
  <c r="K52" i="7"/>
  <c r="H52" i="7"/>
  <c r="G52" i="7"/>
  <c r="F52" i="7"/>
  <c r="E52" i="7"/>
  <c r="D52" i="7"/>
  <c r="C52" i="7"/>
  <c r="N51" i="7"/>
  <c r="M51" i="7"/>
  <c r="L51" i="7"/>
  <c r="K51" i="7"/>
  <c r="H51" i="7"/>
  <c r="G51" i="7"/>
  <c r="F51" i="7"/>
  <c r="E51" i="7"/>
  <c r="D51" i="7"/>
  <c r="C51" i="7"/>
  <c r="N50" i="7"/>
  <c r="M50" i="7"/>
  <c r="L50" i="7"/>
  <c r="K50" i="7"/>
  <c r="H50" i="7"/>
  <c r="G50" i="7"/>
  <c r="F50" i="7"/>
  <c r="E50" i="7"/>
  <c r="D50" i="7"/>
  <c r="C50" i="7"/>
  <c r="N49" i="7"/>
  <c r="M49" i="7"/>
  <c r="L49" i="7"/>
  <c r="K49" i="7"/>
  <c r="H49" i="7"/>
  <c r="G49" i="7"/>
  <c r="F49" i="7"/>
  <c r="E49" i="7"/>
  <c r="D49" i="7"/>
  <c r="C49" i="7"/>
  <c r="N48" i="7"/>
  <c r="M48" i="7"/>
  <c r="L48" i="7"/>
  <c r="K48" i="7"/>
  <c r="H48" i="7"/>
  <c r="G48" i="7"/>
  <c r="F48" i="7"/>
  <c r="E48" i="7"/>
  <c r="D48" i="7"/>
  <c r="C48" i="7"/>
  <c r="N47" i="7"/>
  <c r="M47" i="7"/>
  <c r="L47" i="7"/>
  <c r="K47" i="7"/>
  <c r="H47" i="7"/>
  <c r="G47" i="7"/>
  <c r="F47" i="7"/>
  <c r="E47" i="7"/>
  <c r="D47" i="7"/>
  <c r="C47" i="7"/>
  <c r="N46" i="7"/>
  <c r="M46" i="7"/>
  <c r="L46" i="7"/>
  <c r="K46" i="7"/>
  <c r="H46" i="7"/>
  <c r="G46" i="7"/>
  <c r="F46" i="7"/>
  <c r="E46" i="7"/>
  <c r="D46" i="7"/>
  <c r="C46" i="7"/>
  <c r="N45" i="7"/>
  <c r="M45" i="7"/>
  <c r="L45" i="7"/>
  <c r="K45" i="7"/>
  <c r="H45" i="7"/>
  <c r="G45" i="7"/>
  <c r="F45" i="7"/>
  <c r="E45" i="7"/>
  <c r="D45" i="7"/>
  <c r="C45" i="7"/>
  <c r="N44" i="7"/>
  <c r="M44" i="7"/>
  <c r="L44" i="7"/>
  <c r="K44" i="7"/>
  <c r="H44" i="7"/>
  <c r="G44" i="7"/>
  <c r="F44" i="7"/>
  <c r="E44" i="7"/>
  <c r="D44" i="7"/>
  <c r="C44" i="7"/>
  <c r="N43" i="7"/>
  <c r="M43" i="7"/>
  <c r="L43" i="7"/>
  <c r="K43" i="7"/>
  <c r="H43" i="7"/>
  <c r="G43" i="7"/>
  <c r="F43" i="7"/>
  <c r="E43" i="7"/>
  <c r="D43" i="7"/>
  <c r="C43" i="7"/>
  <c r="N42" i="7"/>
  <c r="M42" i="7"/>
  <c r="L42" i="7"/>
  <c r="K42" i="7"/>
  <c r="H42" i="7"/>
  <c r="G42" i="7"/>
  <c r="F42" i="7"/>
  <c r="E42" i="7"/>
  <c r="D42" i="7"/>
  <c r="C42" i="7"/>
  <c r="N41" i="7"/>
  <c r="M41" i="7"/>
  <c r="L41" i="7"/>
  <c r="K41" i="7"/>
  <c r="H41" i="7"/>
  <c r="G41" i="7"/>
  <c r="F41" i="7"/>
  <c r="E41" i="7"/>
  <c r="D41" i="7"/>
  <c r="C41" i="7"/>
  <c r="N40" i="7"/>
  <c r="M40" i="7"/>
  <c r="L40" i="7"/>
  <c r="K40" i="7"/>
  <c r="H40" i="7"/>
  <c r="G40" i="7"/>
  <c r="F40" i="7"/>
  <c r="E40" i="7"/>
  <c r="D40" i="7"/>
  <c r="C40" i="7"/>
  <c r="N39" i="7"/>
  <c r="M39" i="7"/>
  <c r="L39" i="7"/>
  <c r="K39" i="7"/>
  <c r="H39" i="7"/>
  <c r="G39" i="7"/>
  <c r="F39" i="7"/>
  <c r="E39" i="7"/>
  <c r="D39" i="7"/>
  <c r="C39" i="7"/>
  <c r="N38" i="7"/>
  <c r="M38" i="7"/>
  <c r="L38" i="7"/>
  <c r="K38" i="7"/>
  <c r="H38" i="7"/>
  <c r="G38" i="7"/>
  <c r="F38" i="7"/>
  <c r="E38" i="7"/>
  <c r="D38" i="7"/>
  <c r="C38" i="7"/>
  <c r="N37" i="7"/>
  <c r="M37" i="7"/>
  <c r="L37" i="7"/>
  <c r="K37" i="7"/>
  <c r="H37" i="7"/>
  <c r="G37" i="7"/>
  <c r="F37" i="7"/>
  <c r="E37" i="7"/>
  <c r="D37" i="7"/>
  <c r="C37" i="7"/>
  <c r="N36" i="7"/>
  <c r="M36" i="7"/>
  <c r="L36" i="7"/>
  <c r="K36" i="7"/>
  <c r="H36" i="7"/>
  <c r="G36" i="7"/>
  <c r="F36" i="7"/>
  <c r="E36" i="7"/>
  <c r="D36" i="7"/>
  <c r="C36" i="7"/>
  <c r="N35" i="7"/>
  <c r="M35" i="7"/>
  <c r="L35" i="7"/>
  <c r="K35" i="7"/>
  <c r="H35" i="7"/>
  <c r="G35" i="7"/>
  <c r="F35" i="7"/>
  <c r="E35" i="7"/>
  <c r="D35" i="7"/>
  <c r="C35" i="7"/>
  <c r="N34" i="7"/>
  <c r="M34" i="7"/>
  <c r="L34" i="7"/>
  <c r="K34" i="7"/>
  <c r="H34" i="7"/>
  <c r="G34" i="7"/>
  <c r="F34" i="7"/>
  <c r="E34" i="7"/>
  <c r="D34" i="7"/>
  <c r="C34" i="7"/>
  <c r="N33" i="7"/>
  <c r="M33" i="7"/>
  <c r="L33" i="7"/>
  <c r="K33" i="7"/>
  <c r="H33" i="7"/>
  <c r="G33" i="7"/>
  <c r="F33" i="7"/>
  <c r="E33" i="7"/>
  <c r="D33" i="7"/>
  <c r="C33" i="7"/>
  <c r="N32" i="7"/>
  <c r="M32" i="7"/>
  <c r="L32" i="7"/>
  <c r="K32" i="7"/>
  <c r="H32" i="7"/>
  <c r="G32" i="7"/>
  <c r="F32" i="7"/>
  <c r="E32" i="7"/>
  <c r="D32" i="7"/>
  <c r="C32" i="7"/>
  <c r="N31" i="7"/>
  <c r="M31" i="7"/>
  <c r="L31" i="7"/>
  <c r="K31" i="7"/>
  <c r="H31" i="7"/>
  <c r="G31" i="7"/>
  <c r="F31" i="7"/>
  <c r="E31" i="7"/>
  <c r="D31" i="7"/>
  <c r="C31" i="7"/>
  <c r="N30" i="7"/>
  <c r="M30" i="7"/>
  <c r="L30" i="7"/>
  <c r="K30" i="7"/>
  <c r="H30" i="7"/>
  <c r="G30" i="7"/>
  <c r="F30" i="7"/>
  <c r="E30" i="7"/>
  <c r="D30" i="7"/>
  <c r="C30" i="7"/>
  <c r="N29" i="7"/>
  <c r="M29" i="7"/>
  <c r="L29" i="7"/>
  <c r="K29" i="7"/>
  <c r="H29" i="7"/>
  <c r="G29" i="7"/>
  <c r="F29" i="7"/>
  <c r="E29" i="7"/>
  <c r="D29" i="7"/>
  <c r="C29" i="7"/>
  <c r="N28" i="7"/>
  <c r="M28" i="7"/>
  <c r="L28" i="7"/>
  <c r="K28" i="7"/>
  <c r="H28" i="7"/>
  <c r="G28" i="7"/>
  <c r="F28" i="7"/>
  <c r="E28" i="7"/>
  <c r="D28" i="7"/>
  <c r="C28" i="7"/>
  <c r="N27" i="7"/>
  <c r="M27" i="7"/>
  <c r="L27" i="7"/>
  <c r="K27" i="7"/>
  <c r="H27" i="7"/>
  <c r="G27" i="7"/>
  <c r="F27" i="7"/>
  <c r="E27" i="7"/>
  <c r="D27" i="7"/>
  <c r="C27" i="7"/>
  <c r="N26" i="7"/>
  <c r="M26" i="7"/>
  <c r="L26" i="7"/>
  <c r="K26" i="7"/>
  <c r="H26" i="7"/>
  <c r="G26" i="7"/>
  <c r="F26" i="7"/>
  <c r="E26" i="7"/>
  <c r="D26" i="7"/>
  <c r="C26" i="7"/>
  <c r="N25" i="7"/>
  <c r="M25" i="7"/>
  <c r="L25" i="7"/>
  <c r="K25" i="7"/>
  <c r="H25" i="7"/>
  <c r="G25" i="7"/>
  <c r="F25" i="7"/>
  <c r="E25" i="7"/>
  <c r="D25" i="7"/>
  <c r="C25" i="7"/>
  <c r="N24" i="7"/>
  <c r="M24" i="7"/>
  <c r="L24" i="7"/>
  <c r="K24" i="7"/>
  <c r="H24" i="7"/>
  <c r="G24" i="7"/>
  <c r="F24" i="7"/>
  <c r="E24" i="7"/>
  <c r="D24" i="7"/>
  <c r="C24" i="7"/>
  <c r="N23" i="7"/>
  <c r="M23" i="7"/>
  <c r="L23" i="7"/>
  <c r="K23" i="7"/>
  <c r="H23" i="7"/>
  <c r="G23" i="7"/>
  <c r="F23" i="7"/>
  <c r="E23" i="7"/>
  <c r="D23" i="7"/>
  <c r="C23" i="7"/>
  <c r="N22" i="7"/>
  <c r="M22" i="7"/>
  <c r="L22" i="7"/>
  <c r="K22" i="7"/>
  <c r="H22" i="7"/>
  <c r="G22" i="7"/>
  <c r="F22" i="7"/>
  <c r="E22" i="7"/>
  <c r="D22" i="7"/>
  <c r="C22" i="7"/>
  <c r="N21" i="7"/>
  <c r="M21" i="7"/>
  <c r="L21" i="7"/>
  <c r="K21" i="7"/>
  <c r="H21" i="7"/>
  <c r="G21" i="7"/>
  <c r="F21" i="7"/>
  <c r="E21" i="7"/>
  <c r="D21" i="7"/>
  <c r="C21" i="7"/>
  <c r="N20" i="7"/>
  <c r="M20" i="7"/>
  <c r="L20" i="7"/>
  <c r="K20" i="7"/>
  <c r="H20" i="7"/>
  <c r="G20" i="7"/>
  <c r="F20" i="7"/>
  <c r="E20" i="7"/>
  <c r="D20" i="7"/>
  <c r="C20" i="7"/>
  <c r="N19" i="7"/>
  <c r="M19" i="7"/>
  <c r="L19" i="7"/>
  <c r="K19" i="7"/>
  <c r="H19" i="7"/>
  <c r="G19" i="7"/>
  <c r="F19" i="7"/>
  <c r="E19" i="7"/>
  <c r="D19" i="7"/>
  <c r="C19" i="7"/>
  <c r="N18" i="7"/>
  <c r="M18" i="7"/>
  <c r="L18" i="7"/>
  <c r="K18" i="7"/>
  <c r="H18" i="7"/>
  <c r="G18" i="7"/>
  <c r="F18" i="7"/>
  <c r="E18" i="7"/>
  <c r="D18" i="7"/>
  <c r="C18" i="7"/>
  <c r="N17" i="7"/>
  <c r="M17" i="7"/>
  <c r="L17" i="7"/>
  <c r="K17" i="7"/>
  <c r="H17" i="7"/>
  <c r="G17" i="7"/>
  <c r="F17" i="7"/>
  <c r="E17" i="7"/>
  <c r="D17" i="7"/>
  <c r="C17" i="7"/>
  <c r="N16" i="7"/>
  <c r="M16" i="7"/>
  <c r="L16" i="7"/>
  <c r="K16" i="7"/>
  <c r="H16" i="7"/>
  <c r="G16" i="7"/>
  <c r="F16" i="7"/>
  <c r="E16" i="7"/>
  <c r="D16" i="7"/>
  <c r="C16" i="7"/>
  <c r="N15" i="7"/>
  <c r="M15" i="7"/>
  <c r="L15" i="7"/>
  <c r="K15" i="7"/>
  <c r="H15" i="7"/>
  <c r="G15" i="7"/>
  <c r="F15" i="7"/>
  <c r="E15" i="7"/>
  <c r="D15" i="7"/>
  <c r="C15" i="7"/>
  <c r="N14" i="7"/>
  <c r="M14" i="7"/>
  <c r="L14" i="7"/>
  <c r="K14" i="7"/>
  <c r="H14" i="7"/>
  <c r="G14" i="7"/>
  <c r="F14" i="7"/>
  <c r="E14" i="7"/>
  <c r="D14" i="7"/>
  <c r="C14" i="7"/>
  <c r="N13" i="7"/>
  <c r="M13" i="7"/>
  <c r="L13" i="7"/>
  <c r="K13" i="7"/>
  <c r="H13" i="7"/>
  <c r="G13" i="7"/>
  <c r="F13" i="7"/>
  <c r="E13" i="7"/>
  <c r="D13" i="7"/>
  <c r="C13" i="7"/>
  <c r="N12" i="7"/>
  <c r="M12" i="7"/>
  <c r="L12" i="7"/>
  <c r="K12" i="7"/>
  <c r="H12" i="7"/>
  <c r="G12" i="7"/>
  <c r="F12" i="7"/>
  <c r="E12" i="7"/>
  <c r="D12" i="7"/>
  <c r="C12" i="7"/>
  <c r="N11" i="7"/>
  <c r="M11" i="7"/>
  <c r="L11" i="7"/>
  <c r="K11" i="7"/>
  <c r="H11" i="7"/>
  <c r="G11" i="7"/>
  <c r="F11" i="7"/>
  <c r="E11" i="7"/>
  <c r="D11" i="7"/>
  <c r="C11" i="7"/>
  <c r="N10" i="7"/>
  <c r="M10" i="7"/>
  <c r="L10" i="7"/>
  <c r="K10" i="7"/>
  <c r="H10" i="7"/>
  <c r="G10" i="7"/>
  <c r="F10" i="7"/>
  <c r="E10" i="7"/>
  <c r="D10" i="7"/>
  <c r="C10" i="7"/>
  <c r="N9" i="7"/>
  <c r="M9" i="7"/>
  <c r="L9" i="7"/>
  <c r="K9" i="7"/>
  <c r="H9" i="7"/>
  <c r="G9" i="7"/>
  <c r="F9" i="7"/>
  <c r="E9" i="7"/>
  <c r="D9" i="7"/>
  <c r="C9" i="7"/>
  <c r="N8" i="7"/>
  <c r="M8" i="7"/>
  <c r="L8" i="7"/>
  <c r="K8" i="7"/>
  <c r="H8" i="7"/>
  <c r="G8" i="7"/>
  <c r="F8" i="7"/>
  <c r="E8" i="7"/>
  <c r="D8" i="7"/>
  <c r="C8" i="7"/>
  <c r="N7" i="7"/>
  <c r="M7" i="7"/>
  <c r="L7" i="7"/>
  <c r="K7" i="7"/>
  <c r="H7" i="7"/>
  <c r="G7" i="7"/>
  <c r="F7" i="7"/>
  <c r="E7" i="7"/>
  <c r="D7" i="7"/>
  <c r="C7" i="7"/>
  <c r="N6" i="7"/>
  <c r="M6" i="7"/>
  <c r="L6" i="7"/>
  <c r="K6" i="7"/>
  <c r="H6" i="7"/>
  <c r="G6" i="7"/>
  <c r="F6" i="7"/>
  <c r="E6" i="7"/>
  <c r="D6" i="7"/>
  <c r="C6" i="7"/>
  <c r="N5" i="7"/>
  <c r="M5" i="7"/>
  <c r="L5" i="7"/>
  <c r="K5" i="7"/>
  <c r="H5" i="7"/>
  <c r="G5" i="7"/>
  <c r="F5" i="7"/>
  <c r="E5" i="7"/>
  <c r="D5" i="7"/>
  <c r="C5" i="7"/>
  <c r="J69" i="7"/>
  <c r="D10" i="6"/>
  <c r="D10" i="4"/>
  <c r="C10" i="4"/>
  <c r="G9" i="2"/>
  <c r="D10" i="2" s="1"/>
  <c r="I5" i="7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C10" i="2"/>
</calcChain>
</file>

<file path=xl/sharedStrings.xml><?xml version="1.0" encoding="utf-8"?>
<sst xmlns="http://schemas.openxmlformats.org/spreadsheetml/2006/main" count="108" uniqueCount="86">
  <si>
    <t>n</t>
    <phoneticPr fontId="2"/>
  </si>
  <si>
    <t>x_n</t>
    <phoneticPr fontId="2"/>
  </si>
  <si>
    <t>y_n</t>
    <phoneticPr fontId="2"/>
  </si>
  <si>
    <t>x</t>
    <phoneticPr fontId="2"/>
  </si>
  <si>
    <t>y</t>
    <phoneticPr fontId="2"/>
  </si>
  <si>
    <t>点P</t>
    <rPh sb="0" eb="1">
      <t>テン</t>
    </rPh>
    <phoneticPr fontId="2"/>
  </si>
  <si>
    <t>角度</t>
    <rPh sb="0" eb="2">
      <t>カクド</t>
    </rPh>
    <phoneticPr fontId="2"/>
  </si>
  <si>
    <t>原点O</t>
    <rPh sb="0" eb="2">
      <t>ゲンテン</t>
    </rPh>
    <phoneticPr fontId="2"/>
  </si>
  <si>
    <t>角度θ</t>
    <rPh sb="0" eb="2">
      <t>カクド</t>
    </rPh>
    <phoneticPr fontId="2"/>
  </si>
  <si>
    <t>0°</t>
    <phoneticPr fontId="2"/>
  </si>
  <si>
    <t>30°</t>
    <phoneticPr fontId="2"/>
  </si>
  <si>
    <t>60°</t>
    <phoneticPr fontId="2"/>
  </si>
  <si>
    <t>45°</t>
    <phoneticPr fontId="2"/>
  </si>
  <si>
    <t>90°</t>
    <phoneticPr fontId="2"/>
  </si>
  <si>
    <t>120°</t>
    <phoneticPr fontId="2"/>
  </si>
  <si>
    <t>135°</t>
    <phoneticPr fontId="2"/>
  </si>
  <si>
    <t>150°</t>
    <phoneticPr fontId="2"/>
  </si>
  <si>
    <t>180°</t>
    <phoneticPr fontId="2"/>
  </si>
  <si>
    <t>210°</t>
    <phoneticPr fontId="2"/>
  </si>
  <si>
    <t>225°</t>
    <phoneticPr fontId="2"/>
  </si>
  <si>
    <t>240°</t>
    <phoneticPr fontId="2"/>
  </si>
  <si>
    <t>270°</t>
    <phoneticPr fontId="2"/>
  </si>
  <si>
    <t>300°</t>
    <phoneticPr fontId="2"/>
  </si>
  <si>
    <t>315°</t>
    <phoneticPr fontId="2"/>
  </si>
  <si>
    <t>330°</t>
    <phoneticPr fontId="2"/>
  </si>
  <si>
    <t>360°</t>
    <phoneticPr fontId="2"/>
  </si>
  <si>
    <t>(1/6)π</t>
    <phoneticPr fontId="2"/>
  </si>
  <si>
    <t>(1/4)π</t>
    <phoneticPr fontId="2"/>
  </si>
  <si>
    <t>(1/3)π</t>
    <phoneticPr fontId="2"/>
  </si>
  <si>
    <t>(1/2)π</t>
    <phoneticPr fontId="2"/>
  </si>
  <si>
    <t>(2/3)π</t>
    <phoneticPr fontId="2"/>
  </si>
  <si>
    <t>(3/4)π</t>
    <phoneticPr fontId="2"/>
  </si>
  <si>
    <t>(5/6)π</t>
    <phoneticPr fontId="2"/>
  </si>
  <si>
    <t>π</t>
    <phoneticPr fontId="2"/>
  </si>
  <si>
    <t>(7/6)π</t>
    <phoneticPr fontId="2"/>
  </si>
  <si>
    <t>(5/4)π</t>
    <phoneticPr fontId="2"/>
  </si>
  <si>
    <t>(4/3)π</t>
    <phoneticPr fontId="2"/>
  </si>
  <si>
    <t>(3/2)π</t>
    <phoneticPr fontId="2"/>
  </si>
  <si>
    <t>(5/3)π</t>
    <phoneticPr fontId="2"/>
  </si>
  <si>
    <t>2π×(2/24)</t>
    <phoneticPr fontId="2"/>
  </si>
  <si>
    <t>2π×(3/24)</t>
    <phoneticPr fontId="2"/>
  </si>
  <si>
    <t>2π×(4/24)</t>
    <phoneticPr fontId="2"/>
  </si>
  <si>
    <t>2π×(6/24)</t>
    <phoneticPr fontId="2"/>
  </si>
  <si>
    <t>2π×(8/24)</t>
    <phoneticPr fontId="2"/>
  </si>
  <si>
    <t>2π×(9/24)</t>
    <phoneticPr fontId="2"/>
  </si>
  <si>
    <t>2π×(10/24)</t>
    <phoneticPr fontId="2"/>
  </si>
  <si>
    <t>2π×(12/24)</t>
    <phoneticPr fontId="2"/>
  </si>
  <si>
    <t>2π×(14/24)</t>
    <phoneticPr fontId="2"/>
  </si>
  <si>
    <t>2π×(15/24)</t>
    <phoneticPr fontId="2"/>
  </si>
  <si>
    <t>2π×(16/24)</t>
    <phoneticPr fontId="2"/>
  </si>
  <si>
    <t>2π×(18/24)</t>
    <phoneticPr fontId="2"/>
  </si>
  <si>
    <t>2π×(20/24)</t>
    <phoneticPr fontId="2"/>
  </si>
  <si>
    <t>2π</t>
    <phoneticPr fontId="2"/>
  </si>
  <si>
    <t>(11/6)π</t>
    <phoneticPr fontId="2"/>
  </si>
  <si>
    <t>(7/4)π</t>
    <phoneticPr fontId="2"/>
  </si>
  <si>
    <t>2π×(21/24)</t>
    <phoneticPr fontId="2"/>
  </si>
  <si>
    <t>2π×(22/24)</t>
    <phoneticPr fontId="2"/>
  </si>
  <si>
    <t>2π×(24/24)</t>
    <phoneticPr fontId="2"/>
  </si>
  <si>
    <t>2π×(0/24)</t>
    <phoneticPr fontId="2"/>
  </si>
  <si>
    <t>角度(弧度法)</t>
    <rPh sb="0" eb="2">
      <t>カクド</t>
    </rPh>
    <rPh sb="3" eb="6">
      <t>コドホウ</t>
    </rPh>
    <phoneticPr fontId="2"/>
  </si>
  <si>
    <t>角度は弧度法で出力する</t>
    <rPh sb="0" eb="2">
      <t>カクド</t>
    </rPh>
    <rPh sb="3" eb="6">
      <t>コドホウ</t>
    </rPh>
    <rPh sb="7" eb="9">
      <t>シュツリョク</t>
    </rPh>
    <phoneticPr fontId="2"/>
  </si>
  <si>
    <t>点A</t>
    <rPh sb="0" eb="1">
      <t>テン</t>
    </rPh>
    <phoneticPr fontId="2"/>
  </si>
  <si>
    <t>点B</t>
    <rPh sb="0" eb="1">
      <t>テン</t>
    </rPh>
    <phoneticPr fontId="2"/>
  </si>
  <si>
    <t>点C</t>
    <rPh sb="0" eb="1">
      <t>テン</t>
    </rPh>
    <phoneticPr fontId="2"/>
  </si>
  <si>
    <t>点D</t>
    <rPh sb="0" eb="1">
      <t>テン</t>
    </rPh>
    <phoneticPr fontId="2"/>
  </si>
  <si>
    <t>N</t>
    <phoneticPr fontId="2"/>
  </si>
  <si>
    <t>N(周期)</t>
    <rPh sb="2" eb="4">
      <t>シュウキ</t>
    </rPh>
    <phoneticPr fontId="2"/>
  </si>
  <si>
    <t>N1</t>
    <phoneticPr fontId="2"/>
  </si>
  <si>
    <t>N2</t>
    <phoneticPr fontId="2"/>
  </si>
  <si>
    <t>N3</t>
    <phoneticPr fontId="2"/>
  </si>
  <si>
    <t>N4</t>
    <phoneticPr fontId="2"/>
  </si>
  <si>
    <t>N5</t>
    <phoneticPr fontId="2"/>
  </si>
  <si>
    <t>sin</t>
    <phoneticPr fontId="2"/>
  </si>
  <si>
    <t>cos</t>
    <phoneticPr fontId="2"/>
  </si>
  <si>
    <t>sinN1</t>
    <phoneticPr fontId="2"/>
  </si>
  <si>
    <t>cosN1</t>
    <phoneticPr fontId="2"/>
  </si>
  <si>
    <t>sinN2</t>
    <phoneticPr fontId="2"/>
  </si>
  <si>
    <t>cosN2</t>
    <phoneticPr fontId="2"/>
  </si>
  <si>
    <t>sinN3</t>
    <phoneticPr fontId="2"/>
  </si>
  <si>
    <t>cosN3</t>
    <phoneticPr fontId="2"/>
  </si>
  <si>
    <t>sinN4</t>
    <phoneticPr fontId="2"/>
  </si>
  <si>
    <t>cosN4</t>
    <phoneticPr fontId="2"/>
  </si>
  <si>
    <t>sinN5</t>
    <phoneticPr fontId="2"/>
  </si>
  <si>
    <t>cosN5</t>
    <phoneticPr fontId="2"/>
  </si>
  <si>
    <t>n</t>
    <phoneticPr fontId="2"/>
  </si>
  <si>
    <t>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</si>
</sst>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79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'【解答】演習問題１（データを描く）'!$D$8</c:f>
              <c:strCache>
                <c:ptCount val="1"/>
                <c:pt idx="0">
                  <c:v>y_n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'【解答】演習問題１（データを描く）'!$C$9:$C$28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8</c:v>
                </c:pt>
                <c:pt idx="19">
                  <c:v>3</c:v>
                </c:pt>
              </c:numCache>
            </c:numRef>
          </c:xVal>
          <c:yVal>
            <c:numRef>
              <c:f>'【解答】演習問題１（データを描く）'!$D$9:$D$28</c:f>
              <c:numCache>
                <c:formatCode>General</c:formatCode>
                <c:ptCount val="20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9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9</c:v>
                </c:pt>
                <c:pt idx="15">
                  <c:v>3</c:v>
                </c:pt>
                <c:pt idx="16">
                  <c:v>9</c:v>
                </c:pt>
                <c:pt idx="17">
                  <c:v>9</c:v>
                </c:pt>
                <c:pt idx="18">
                  <c:v>3</c:v>
                </c:pt>
                <c:pt idx="1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3-4093-A1DE-70BC72C4D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460512"/>
        <c:axId val="520457560"/>
      </c:scatterChart>
      <c:valAx>
        <c:axId val="52046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57560"/>
        <c:crosses val="autoZero"/>
        <c:crossBetween val="midCat"/>
      </c:valAx>
      <c:valAx>
        <c:axId val="52045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6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'演習問題２（sin, cos）'!$D$8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8-494A-A659-AF5AA205FB56}"/>
              </c:ext>
            </c:extLst>
          </c:dPt>
          <c:xVal>
            <c:numRef>
              <c:f>'演習問題２（sin, cos）'!$C$9:$C$14</c:f>
              <c:numCache>
                <c:formatCode>General</c:formatCode>
                <c:ptCount val="6"/>
                <c:pt idx="0">
                  <c:v>0</c:v>
                </c:pt>
                <c:pt idx="1">
                  <c:v>0.96592582628906831</c:v>
                </c:pt>
                <c:pt idx="2">
                  <c:v>1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</c:numCache>
            </c:numRef>
          </c:xVal>
          <c:yVal>
            <c:numRef>
              <c:f>'演習問題２（sin, cos）'!$D$9:$D$14</c:f>
              <c:numCache>
                <c:formatCode>General</c:formatCode>
                <c:ptCount val="6"/>
                <c:pt idx="0">
                  <c:v>0</c:v>
                </c:pt>
                <c:pt idx="1">
                  <c:v>0.25881904510252074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8-494A-A659-AF5AA205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71088"/>
        <c:axId val="941571416"/>
      </c:scatterChart>
      <c:valAx>
        <c:axId val="94157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416"/>
        <c:crosses val="autoZero"/>
        <c:crossBetween val="midCat"/>
      </c:valAx>
      <c:valAx>
        <c:axId val="94157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0-43BA-8C32-751DEBE41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535088"/>
        <c:axId val="636538368"/>
      </c:scatterChart>
      <c:valAx>
        <c:axId val="63653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8368"/>
        <c:crosses val="autoZero"/>
        <c:crossBetween val="midCat"/>
      </c:valAx>
      <c:valAx>
        <c:axId val="6365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0-410A-9BB7-7287B6360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98120"/>
        <c:axId val="680298776"/>
      </c:scatterChart>
      <c:valAx>
        <c:axId val="680298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8776"/>
        <c:crosses val="autoZero"/>
        <c:crossBetween val="midCat"/>
      </c:valAx>
      <c:valAx>
        <c:axId val="680298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98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6-4DF7-B340-45EEAC2B0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89920"/>
        <c:axId val="680291560"/>
      </c:scatterChart>
      <c:valAx>
        <c:axId val="68028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1560"/>
        <c:crosses val="autoZero"/>
        <c:crossBetween val="midCat"/>
      </c:valAx>
      <c:valAx>
        <c:axId val="680291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8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'【解答】演習問題４（円に近づける）'!$D$9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'【解答】演習問題４（円に近づける）'!$C$10:$C$110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0.99802672842827156</c:v>
                </c:pt>
                <c:pt idx="2">
                  <c:v>0.99211470131447788</c:v>
                </c:pt>
                <c:pt idx="3">
                  <c:v>0.98228725072868872</c:v>
                </c:pt>
                <c:pt idx="4">
                  <c:v>0.96858316112863108</c:v>
                </c:pt>
                <c:pt idx="5">
                  <c:v>0.95105651629515353</c:v>
                </c:pt>
                <c:pt idx="6">
                  <c:v>0.92977648588825146</c:v>
                </c:pt>
                <c:pt idx="7">
                  <c:v>0.90482705246601958</c:v>
                </c:pt>
                <c:pt idx="8">
                  <c:v>0.87630668004386358</c:v>
                </c:pt>
                <c:pt idx="9">
                  <c:v>0.84432792550201508</c:v>
                </c:pt>
                <c:pt idx="10">
                  <c:v>0.80901699437494745</c:v>
                </c:pt>
                <c:pt idx="11">
                  <c:v>0.77051324277578925</c:v>
                </c:pt>
                <c:pt idx="12">
                  <c:v>0.72896862742141155</c:v>
                </c:pt>
                <c:pt idx="13">
                  <c:v>0.68454710592868862</c:v>
                </c:pt>
                <c:pt idx="14">
                  <c:v>0.63742398974868975</c:v>
                </c:pt>
                <c:pt idx="15">
                  <c:v>0.58778525229247325</c:v>
                </c:pt>
                <c:pt idx="16">
                  <c:v>0.53582679497899655</c:v>
                </c:pt>
                <c:pt idx="17">
                  <c:v>0.48175367410171516</c:v>
                </c:pt>
                <c:pt idx="18">
                  <c:v>0.42577929156507266</c:v>
                </c:pt>
                <c:pt idx="19">
                  <c:v>0.36812455268467809</c:v>
                </c:pt>
                <c:pt idx="20">
                  <c:v>0.30901699437494745</c:v>
                </c:pt>
                <c:pt idx="21">
                  <c:v>0.24868988716485474</c:v>
                </c:pt>
                <c:pt idx="22">
                  <c:v>0.18738131458572474</c:v>
                </c:pt>
                <c:pt idx="23">
                  <c:v>0.12533323356430448</c:v>
                </c:pt>
                <c:pt idx="24">
                  <c:v>6.2790519529313527E-2</c:v>
                </c:pt>
                <c:pt idx="25">
                  <c:v>6.1257422745431001E-17</c:v>
                </c:pt>
                <c:pt idx="26">
                  <c:v>-6.2790519529313402E-2</c:v>
                </c:pt>
                <c:pt idx="27">
                  <c:v>-0.12533323356430415</c:v>
                </c:pt>
                <c:pt idx="28">
                  <c:v>-0.1873813145857246</c:v>
                </c:pt>
                <c:pt idx="29">
                  <c:v>-0.24868988716485485</c:v>
                </c:pt>
                <c:pt idx="30">
                  <c:v>-0.30901699437494712</c:v>
                </c:pt>
                <c:pt idx="31">
                  <c:v>-0.36812455268467775</c:v>
                </c:pt>
                <c:pt idx="32">
                  <c:v>-0.42577929156507272</c:v>
                </c:pt>
                <c:pt idx="33">
                  <c:v>-0.48175367410171543</c:v>
                </c:pt>
                <c:pt idx="34">
                  <c:v>-0.53582679497899688</c:v>
                </c:pt>
                <c:pt idx="35">
                  <c:v>-0.58778525229247303</c:v>
                </c:pt>
                <c:pt idx="36">
                  <c:v>-0.63742398974868975</c:v>
                </c:pt>
                <c:pt idx="37">
                  <c:v>-0.68454710592868873</c:v>
                </c:pt>
                <c:pt idx="38">
                  <c:v>-0.72896862742141133</c:v>
                </c:pt>
                <c:pt idx="39">
                  <c:v>-0.77051324277578914</c:v>
                </c:pt>
                <c:pt idx="40">
                  <c:v>-0.80901699437494734</c:v>
                </c:pt>
                <c:pt idx="41">
                  <c:v>-0.84432792550201485</c:v>
                </c:pt>
                <c:pt idx="42">
                  <c:v>-0.87630668004386358</c:v>
                </c:pt>
                <c:pt idx="43">
                  <c:v>-0.90482705246601935</c:v>
                </c:pt>
                <c:pt idx="44">
                  <c:v>-0.92977648588825135</c:v>
                </c:pt>
                <c:pt idx="45">
                  <c:v>-0.95105651629515353</c:v>
                </c:pt>
                <c:pt idx="46">
                  <c:v>-0.96858316112863097</c:v>
                </c:pt>
                <c:pt idx="47">
                  <c:v>-0.98228725072868872</c:v>
                </c:pt>
                <c:pt idx="48">
                  <c:v>-0.99211470131447776</c:v>
                </c:pt>
                <c:pt idx="49">
                  <c:v>-0.99802672842827156</c:v>
                </c:pt>
                <c:pt idx="50">
                  <c:v>-1</c:v>
                </c:pt>
                <c:pt idx="51">
                  <c:v>-0.99802672842827156</c:v>
                </c:pt>
                <c:pt idx="52">
                  <c:v>-0.99211470131447788</c:v>
                </c:pt>
                <c:pt idx="53">
                  <c:v>-0.98228725072868861</c:v>
                </c:pt>
                <c:pt idx="54">
                  <c:v>-0.96858316112863119</c:v>
                </c:pt>
                <c:pt idx="55">
                  <c:v>-0.95105651629515364</c:v>
                </c:pt>
                <c:pt idx="56">
                  <c:v>-0.92977648588825146</c:v>
                </c:pt>
                <c:pt idx="57">
                  <c:v>-0.90482705246601969</c:v>
                </c:pt>
                <c:pt idx="58">
                  <c:v>-0.87630668004386347</c:v>
                </c:pt>
                <c:pt idx="59">
                  <c:v>-0.84432792550201519</c:v>
                </c:pt>
                <c:pt idx="60">
                  <c:v>-0.80901699437494778</c:v>
                </c:pt>
                <c:pt idx="61">
                  <c:v>-0.77051324277578925</c:v>
                </c:pt>
                <c:pt idx="62">
                  <c:v>-0.72896862742141177</c:v>
                </c:pt>
                <c:pt idx="63">
                  <c:v>-0.68454710592868862</c:v>
                </c:pt>
                <c:pt idx="64">
                  <c:v>-0.63742398974868952</c:v>
                </c:pt>
                <c:pt idx="65">
                  <c:v>-0.58778525229247325</c:v>
                </c:pt>
                <c:pt idx="66">
                  <c:v>-0.53582679497899632</c:v>
                </c:pt>
                <c:pt idx="67">
                  <c:v>-0.48175367410171527</c:v>
                </c:pt>
                <c:pt idx="68">
                  <c:v>-0.42577929156507216</c:v>
                </c:pt>
                <c:pt idx="69">
                  <c:v>-0.36812455268467781</c:v>
                </c:pt>
                <c:pt idx="70">
                  <c:v>-0.30901699437494756</c:v>
                </c:pt>
                <c:pt idx="71">
                  <c:v>-0.24868988716485443</c:v>
                </c:pt>
                <c:pt idx="72">
                  <c:v>-0.18738131458572463</c:v>
                </c:pt>
                <c:pt idx="73">
                  <c:v>-0.12533323356430459</c:v>
                </c:pt>
                <c:pt idx="74">
                  <c:v>-6.2790519529313207E-2</c:v>
                </c:pt>
                <c:pt idx="75">
                  <c:v>-1.83772268236293E-16</c:v>
                </c:pt>
                <c:pt idx="76">
                  <c:v>6.2790519529312833E-2</c:v>
                </c:pt>
                <c:pt idx="77">
                  <c:v>0.12533323356430423</c:v>
                </c:pt>
                <c:pt idx="78">
                  <c:v>0.18738131458572427</c:v>
                </c:pt>
                <c:pt idx="79">
                  <c:v>0.24868988716485493</c:v>
                </c:pt>
                <c:pt idx="80">
                  <c:v>0.30901699437494723</c:v>
                </c:pt>
                <c:pt idx="81">
                  <c:v>0.36812455268467742</c:v>
                </c:pt>
                <c:pt idx="82">
                  <c:v>0.42577929156507183</c:v>
                </c:pt>
                <c:pt idx="83">
                  <c:v>0.48175367410171571</c:v>
                </c:pt>
                <c:pt idx="84">
                  <c:v>0.53582679497899677</c:v>
                </c:pt>
                <c:pt idx="85">
                  <c:v>0.58778525229247292</c:v>
                </c:pt>
                <c:pt idx="86">
                  <c:v>0.6374239897486893</c:v>
                </c:pt>
                <c:pt idx="87">
                  <c:v>0.68454710592868795</c:v>
                </c:pt>
                <c:pt idx="88">
                  <c:v>0.72896862742141122</c:v>
                </c:pt>
                <c:pt idx="89">
                  <c:v>0.77051324277578936</c:v>
                </c:pt>
                <c:pt idx="90">
                  <c:v>0.80901699437494734</c:v>
                </c:pt>
                <c:pt idx="91">
                  <c:v>0.84432792550201474</c:v>
                </c:pt>
                <c:pt idx="92">
                  <c:v>0.87630668004386314</c:v>
                </c:pt>
                <c:pt idx="93">
                  <c:v>0.90482705246601935</c:v>
                </c:pt>
                <c:pt idx="94">
                  <c:v>0.92977648588825146</c:v>
                </c:pt>
                <c:pt idx="95">
                  <c:v>0.95105651629515353</c:v>
                </c:pt>
                <c:pt idx="96">
                  <c:v>0.96858316112863097</c:v>
                </c:pt>
                <c:pt idx="97">
                  <c:v>0.98228725072868872</c:v>
                </c:pt>
                <c:pt idx="98">
                  <c:v>0.99211470131447776</c:v>
                </c:pt>
                <c:pt idx="99">
                  <c:v>0.99802672842827156</c:v>
                </c:pt>
                <c:pt idx="100">
                  <c:v>1</c:v>
                </c:pt>
              </c:numCache>
            </c:numRef>
          </c:xVal>
          <c:yVal>
            <c:numRef>
              <c:f>'【解答】演習問題４（円に近づける）'!$D$10:$D$110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6.2790519529313374E-2</c:v>
                </c:pt>
                <c:pt idx="2">
                  <c:v>0.12533323356430426</c:v>
                </c:pt>
                <c:pt idx="3">
                  <c:v>0.1873813145857246</c:v>
                </c:pt>
                <c:pt idx="4">
                  <c:v>0.24868988716485479</c:v>
                </c:pt>
                <c:pt idx="5">
                  <c:v>0.3090169943749474</c:v>
                </c:pt>
                <c:pt idx="6">
                  <c:v>0.36812455268467792</c:v>
                </c:pt>
                <c:pt idx="7">
                  <c:v>0.42577929156507266</c:v>
                </c:pt>
                <c:pt idx="8">
                  <c:v>0.48175367410171532</c:v>
                </c:pt>
                <c:pt idx="9">
                  <c:v>0.53582679497899666</c:v>
                </c:pt>
                <c:pt idx="10">
                  <c:v>0.58778525229247314</c:v>
                </c:pt>
                <c:pt idx="11">
                  <c:v>0.63742398974868963</c:v>
                </c:pt>
                <c:pt idx="12">
                  <c:v>0.68454710592868862</c:v>
                </c:pt>
                <c:pt idx="13">
                  <c:v>0.72896862742141155</c:v>
                </c:pt>
                <c:pt idx="14">
                  <c:v>0.77051324277578925</c:v>
                </c:pt>
                <c:pt idx="15">
                  <c:v>0.80901699437494734</c:v>
                </c:pt>
                <c:pt idx="16">
                  <c:v>0.84432792550201508</c:v>
                </c:pt>
                <c:pt idx="17">
                  <c:v>0.87630668004386369</c:v>
                </c:pt>
                <c:pt idx="18">
                  <c:v>0.90482705246601958</c:v>
                </c:pt>
                <c:pt idx="19">
                  <c:v>0.92977648588825135</c:v>
                </c:pt>
                <c:pt idx="20">
                  <c:v>0.95105651629515353</c:v>
                </c:pt>
                <c:pt idx="21">
                  <c:v>0.96858316112863108</c:v>
                </c:pt>
                <c:pt idx="22">
                  <c:v>0.98228725072868861</c:v>
                </c:pt>
                <c:pt idx="23">
                  <c:v>0.99211470131447776</c:v>
                </c:pt>
                <c:pt idx="24">
                  <c:v>0.99802672842827156</c:v>
                </c:pt>
                <c:pt idx="25">
                  <c:v>1</c:v>
                </c:pt>
                <c:pt idx="26">
                  <c:v>0.99802672842827156</c:v>
                </c:pt>
                <c:pt idx="27">
                  <c:v>0.99211470131447788</c:v>
                </c:pt>
                <c:pt idx="28">
                  <c:v>0.98228725072868872</c:v>
                </c:pt>
                <c:pt idx="29">
                  <c:v>0.96858316112863108</c:v>
                </c:pt>
                <c:pt idx="30">
                  <c:v>0.95105651629515364</c:v>
                </c:pt>
                <c:pt idx="31">
                  <c:v>0.92977648588825146</c:v>
                </c:pt>
                <c:pt idx="32">
                  <c:v>0.90482705246601947</c:v>
                </c:pt>
                <c:pt idx="33">
                  <c:v>0.87630668004386347</c:v>
                </c:pt>
                <c:pt idx="34">
                  <c:v>0.84432792550201496</c:v>
                </c:pt>
                <c:pt idx="35">
                  <c:v>0.80901699437494745</c:v>
                </c:pt>
                <c:pt idx="36">
                  <c:v>0.77051324277578925</c:v>
                </c:pt>
                <c:pt idx="37">
                  <c:v>0.72896862742141144</c:v>
                </c:pt>
                <c:pt idx="38">
                  <c:v>0.68454710592868884</c:v>
                </c:pt>
                <c:pt idx="39">
                  <c:v>0.63742398974868986</c:v>
                </c:pt>
                <c:pt idx="40">
                  <c:v>0.58778525229247325</c:v>
                </c:pt>
                <c:pt idx="41">
                  <c:v>0.53582679497899699</c:v>
                </c:pt>
                <c:pt idx="42">
                  <c:v>0.48175367410171521</c:v>
                </c:pt>
                <c:pt idx="43">
                  <c:v>0.42577929156507288</c:v>
                </c:pt>
                <c:pt idx="44">
                  <c:v>0.36812455268467814</c:v>
                </c:pt>
                <c:pt idx="45">
                  <c:v>0.30901699437494751</c:v>
                </c:pt>
                <c:pt idx="46">
                  <c:v>0.24868988716485524</c:v>
                </c:pt>
                <c:pt idx="47">
                  <c:v>0.18738131458572457</c:v>
                </c:pt>
                <c:pt idx="48">
                  <c:v>0.12533323356430454</c:v>
                </c:pt>
                <c:pt idx="49">
                  <c:v>6.2790519529313582E-2</c:v>
                </c:pt>
                <c:pt idx="50">
                  <c:v>1.22514845490862E-16</c:v>
                </c:pt>
                <c:pt idx="51">
                  <c:v>-6.2790519529313346E-2</c:v>
                </c:pt>
                <c:pt idx="52">
                  <c:v>-0.12533323356430429</c:v>
                </c:pt>
                <c:pt idx="53">
                  <c:v>-0.18738131458572477</c:v>
                </c:pt>
                <c:pt idx="54">
                  <c:v>-0.24868988716485457</c:v>
                </c:pt>
                <c:pt idx="55">
                  <c:v>-0.30901699437494728</c:v>
                </c:pt>
                <c:pt idx="56">
                  <c:v>-0.36812455268467792</c:v>
                </c:pt>
                <c:pt idx="57">
                  <c:v>-0.42577929156507227</c:v>
                </c:pt>
                <c:pt idx="58">
                  <c:v>-0.48175367410171538</c:v>
                </c:pt>
                <c:pt idx="59">
                  <c:v>-0.53582679497899643</c:v>
                </c:pt>
                <c:pt idx="60">
                  <c:v>-0.58778525229247269</c:v>
                </c:pt>
                <c:pt idx="61">
                  <c:v>-0.63742398974868963</c:v>
                </c:pt>
                <c:pt idx="62">
                  <c:v>-0.68454710592868839</c:v>
                </c:pt>
                <c:pt idx="63">
                  <c:v>-0.72896862742141155</c:v>
                </c:pt>
                <c:pt idx="64">
                  <c:v>-0.77051324277578936</c:v>
                </c:pt>
                <c:pt idx="65">
                  <c:v>-0.80901699437494734</c:v>
                </c:pt>
                <c:pt idx="66">
                  <c:v>-0.8443279255020153</c:v>
                </c:pt>
                <c:pt idx="67">
                  <c:v>-0.87630668004386358</c:v>
                </c:pt>
                <c:pt idx="68">
                  <c:v>-0.9048270524660198</c:v>
                </c:pt>
                <c:pt idx="69">
                  <c:v>-0.92977648588825146</c:v>
                </c:pt>
                <c:pt idx="70">
                  <c:v>-0.95105651629515353</c:v>
                </c:pt>
                <c:pt idx="71">
                  <c:v>-0.96858316112863119</c:v>
                </c:pt>
                <c:pt idx="72">
                  <c:v>-0.98228725072868872</c:v>
                </c:pt>
                <c:pt idx="73">
                  <c:v>-0.99211470131447776</c:v>
                </c:pt>
                <c:pt idx="74">
                  <c:v>-0.99802672842827156</c:v>
                </c:pt>
                <c:pt idx="75">
                  <c:v>-1</c:v>
                </c:pt>
                <c:pt idx="76">
                  <c:v>-0.99802672842827156</c:v>
                </c:pt>
                <c:pt idx="77">
                  <c:v>-0.99211470131447788</c:v>
                </c:pt>
                <c:pt idx="78">
                  <c:v>-0.98228725072868872</c:v>
                </c:pt>
                <c:pt idx="79">
                  <c:v>-0.96858316112863108</c:v>
                </c:pt>
                <c:pt idx="80">
                  <c:v>-0.95105651629515364</c:v>
                </c:pt>
                <c:pt idx="81">
                  <c:v>-0.92977648588825157</c:v>
                </c:pt>
                <c:pt idx="82">
                  <c:v>-0.90482705246601991</c:v>
                </c:pt>
                <c:pt idx="83">
                  <c:v>-0.87630668004386336</c:v>
                </c:pt>
                <c:pt idx="84">
                  <c:v>-0.84432792550201496</c:v>
                </c:pt>
                <c:pt idx="85">
                  <c:v>-0.80901699437494756</c:v>
                </c:pt>
                <c:pt idx="86">
                  <c:v>-0.77051324277578959</c:v>
                </c:pt>
                <c:pt idx="87">
                  <c:v>-0.72896862742141211</c:v>
                </c:pt>
                <c:pt idx="88">
                  <c:v>-0.68454710592868895</c:v>
                </c:pt>
                <c:pt idx="89">
                  <c:v>-0.63742398974868963</c:v>
                </c:pt>
                <c:pt idx="90">
                  <c:v>-0.58778525229247336</c:v>
                </c:pt>
                <c:pt idx="91">
                  <c:v>-0.5358267949789971</c:v>
                </c:pt>
                <c:pt idx="92">
                  <c:v>-0.4817536741017161</c:v>
                </c:pt>
                <c:pt idx="93">
                  <c:v>-0.42577929156507299</c:v>
                </c:pt>
                <c:pt idx="94">
                  <c:v>-0.36812455268467786</c:v>
                </c:pt>
                <c:pt idx="95">
                  <c:v>-0.30901699437494762</c:v>
                </c:pt>
                <c:pt idx="96">
                  <c:v>-0.24868988716485535</c:v>
                </c:pt>
                <c:pt idx="97">
                  <c:v>-0.18738131458572468</c:v>
                </c:pt>
                <c:pt idx="98">
                  <c:v>-0.12533323356430465</c:v>
                </c:pt>
                <c:pt idx="99">
                  <c:v>-6.2790519529313263E-2</c:v>
                </c:pt>
                <c:pt idx="100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C-4581-8AA5-939C0C67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745344"/>
        <c:axId val="952746984"/>
      </c:scatterChart>
      <c:valAx>
        <c:axId val="952745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2746984"/>
        <c:crosses val="autoZero"/>
        <c:crossBetween val="midCat"/>
      </c:valAx>
      <c:valAx>
        <c:axId val="952746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274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'【解答】演習問題５（ストリングアート）'!$D$9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'【解答】演習問題５（ストリングアート）'!$C$10:$C$34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'【解答】演習問題５（ストリングアート）'!$D$10:$D$34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0-4DC2-BB23-6D21F72D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52000"/>
        <c:axId val="938048392"/>
      </c:scatterChart>
      <c:valAx>
        <c:axId val="938052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8048392"/>
        <c:crosses val="autoZero"/>
        <c:crossBetween val="midCat"/>
      </c:valAx>
      <c:valAx>
        <c:axId val="938048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05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'付録（素数曼荼羅）'!$F$4</c:f>
              <c:strCache>
                <c:ptCount val="1"/>
                <c:pt idx="0">
                  <c:v>cosN1</c:v>
                </c:pt>
              </c:strCache>
            </c:strRef>
          </c:tx>
          <c:spPr>
            <a:ln w="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'付録（素数曼荼羅）'!$E$5:$E$69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'付録（素数曼荼羅）'!$F$5:$F$69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F-48D1-9C53-0A2961475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2888"/>
        <c:axId val="941564200"/>
      </c:scatterChart>
      <c:valAx>
        <c:axId val="941562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64200"/>
        <c:crosses val="autoZero"/>
        <c:crossBetween val="midCat"/>
      </c:valAx>
      <c:valAx>
        <c:axId val="941564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2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'付録（素数曼荼羅）'!$H$4</c:f>
              <c:strCache>
                <c:ptCount val="1"/>
                <c:pt idx="0">
                  <c:v>cosN2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'付録（素数曼荼羅）'!$G$5:$G$69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'付録（素数曼荼羅）'!$H$5:$H$69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C-4A20-9093-DB7F29EF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4856"/>
        <c:axId val="941559280"/>
      </c:scatterChart>
      <c:valAx>
        <c:axId val="941564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59280"/>
        <c:crosses val="autoZero"/>
        <c:crossBetween val="midCat"/>
      </c:valAx>
      <c:valAx>
        <c:axId val="941559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'付録（素数曼荼羅）'!$J$4</c:f>
              <c:strCache>
                <c:ptCount val="1"/>
                <c:pt idx="0">
                  <c:v>cosN3</c:v>
                </c:pt>
              </c:strCache>
            </c:strRef>
          </c:tx>
          <c:spPr>
            <a:ln w="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'付録（素数曼荼羅）'!$I$5:$I$69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'付録（素数曼荼羅）'!$J$5:$J$69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7-41DE-BF33-EA81F84A2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775768"/>
        <c:axId val="961777408"/>
      </c:scatterChart>
      <c:valAx>
        <c:axId val="961775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777408"/>
        <c:crosses val="autoZero"/>
        <c:crossBetween val="midCat"/>
      </c:valAx>
      <c:valAx>
        <c:axId val="96177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1775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'付録（素数曼荼羅）'!$L$4</c:f>
              <c:strCache>
                <c:ptCount val="1"/>
                <c:pt idx="0">
                  <c:v>cosN4</c:v>
                </c:pt>
              </c:strCache>
            </c:strRef>
          </c:tx>
          <c:spPr>
            <a:ln w="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'付録（素数曼荼羅）'!$K$5:$K$69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'付録（素数曼荼羅）'!$L$5:$L$69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3-41D1-A85B-04131871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10184"/>
        <c:axId val="942816744"/>
      </c:scatterChart>
      <c:valAx>
        <c:axId val="942810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2816744"/>
        <c:crosses val="autoZero"/>
        <c:crossBetween val="midCat"/>
      </c:valAx>
      <c:valAx>
        <c:axId val="942816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281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'付録（素数曼荼羅）'!$N$4</c:f>
              <c:strCache>
                <c:ptCount val="1"/>
                <c:pt idx="0">
                  <c:v>cosN5</c:v>
                </c:pt>
              </c:strCache>
            </c:strRef>
          </c:tx>
          <c:spPr>
            <a:ln w="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'付録（素数曼荼羅）'!$M$5:$M$69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'付録（素数曼荼羅）'!$N$5:$N$69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0-4C0D-886A-339247B4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44432"/>
        <c:axId val="507554600"/>
      </c:scatterChart>
      <c:valAx>
        <c:axId val="507544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7554600"/>
        <c:crosses val="autoZero"/>
        <c:crossBetween val="midCat"/>
      </c:valAx>
      <c:valAx>
        <c:axId val="507554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75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5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37AE7E2-49CE-4D19-A841-A963ACD69CEB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A6EBE9B-DB7E-4345-819D-0FD90CD547AA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868263C-FE43-44D9-B42F-12E9B1FB5FE1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4040A70-6EDE-4DC7-8B21-4F7C9EA961E3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  <xdr:twoCellAnchor>
    <xdr:from>
      <xdr:col>10</xdr:col>
      <xdr:colOff>262384</xdr:colOff>
      <xdr:row>11</xdr:row>
      <xdr:rowOff>136473</xdr:rowOff>
    </xdr:from>
    <xdr:to>
      <xdr:col>17</xdr:col>
      <xdr:colOff>128503</xdr:colOff>
      <xdr:row>23</xdr:row>
      <xdr:rowOff>93279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FCBAC57-75A5-4812-B719-6870F819F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501316</xdr:colOff>
      <xdr:row>15</xdr:row>
      <xdr:rowOff>120315</xdr:rowOff>
    </xdr:from>
    <xdr:to>
      <xdr:col>9</xdr:col>
      <xdr:colOff>391027</xdr:colOff>
      <xdr:row>20</xdr:row>
      <xdr:rowOff>20053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520AD93-58D6-46E4-A631-A14ACEAB7390}"/>
            </a:ext>
          </a:extLst>
        </xdr:cNvPr>
        <xdr:cNvSpPr/>
      </xdr:nvSpPr>
      <xdr:spPr>
        <a:xfrm>
          <a:off x="3188369" y="3599447"/>
          <a:ext cx="3248526" cy="105276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10027</xdr:colOff>
      <xdr:row>16</xdr:row>
      <xdr:rowOff>140367</xdr:rowOff>
    </xdr:from>
    <xdr:to>
      <xdr:col>9</xdr:col>
      <xdr:colOff>330869</xdr:colOff>
      <xdr:row>19</xdr:row>
      <xdr:rowOff>210551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0B6C097-B0C9-4679-85B8-F4ADC4AF51E6}"/>
            </a:ext>
          </a:extLst>
        </xdr:cNvPr>
        <xdr:cNvSpPr txBox="1"/>
      </xdr:nvSpPr>
      <xdr:spPr>
        <a:xfrm>
          <a:off x="3368843" y="3850104"/>
          <a:ext cx="3007894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x_n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y_n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641684</xdr:colOff>
      <xdr:row>6</xdr:row>
      <xdr:rowOff>200526</xdr:rowOff>
    </xdr:from>
    <xdr:to>
      <xdr:col>4</xdr:col>
      <xdr:colOff>30078</xdr:colOff>
      <xdr:row>28</xdr:row>
      <xdr:rowOff>80211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85DE075-6088-4F72-91DB-3C64A2A9E513}"/>
            </a:ext>
          </a:extLst>
        </xdr:cNvPr>
        <xdr:cNvSpPr/>
      </xdr:nvSpPr>
      <xdr:spPr>
        <a:xfrm>
          <a:off x="1313447" y="1584158"/>
          <a:ext cx="1403684" cy="49830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551584</xdr:colOff>
      <xdr:row>6</xdr:row>
      <xdr:rowOff>183636</xdr:rowOff>
    </xdr:from>
    <xdr:to>
      <xdr:col>17</xdr:col>
      <xdr:colOff>160420</xdr:colOff>
      <xdr:row>10</xdr:row>
      <xdr:rowOff>211244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B30D226-7EA2-46CC-AEDE-E7382EEAD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-515" b="79244"/>
        <a:stretch/>
      </xdr:blipFill>
      <xdr:spPr>
        <a:xfrm>
          <a:off x="3238637" y="1567268"/>
          <a:ext cx="8341757" cy="970081"/>
        </a:xfrm>
        <a:prstGeom prst="rect">
          <a:avLst/>
        </a:prstGeom>
      </xdr:spPr>
    </xdr:pic>
    <xdr:clientData/>
  </xdr:twoCellAnchor>
  <xdr:twoCellAnchor>
    <xdr:from>
      <xdr:col>10</xdr:col>
      <xdr:colOff>182478</xdr:colOff>
      <xdr:row>9</xdr:row>
      <xdr:rowOff>22059</xdr:rowOff>
    </xdr:from>
    <xdr:to>
      <xdr:col>10</xdr:col>
      <xdr:colOff>521368</xdr:colOff>
      <xdr:row>10</xdr:row>
      <xdr:rowOff>150396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1D6C63B-8D96-412C-B077-F554668B45BD}"/>
            </a:ext>
          </a:extLst>
        </xdr:cNvPr>
        <xdr:cNvSpPr/>
      </xdr:nvSpPr>
      <xdr:spPr>
        <a:xfrm>
          <a:off x="6900110" y="2117559"/>
          <a:ext cx="338890" cy="3589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505326</xdr:colOff>
      <xdr:row>7</xdr:row>
      <xdr:rowOff>104275</xdr:rowOff>
    </xdr:from>
    <xdr:to>
      <xdr:col>6</xdr:col>
      <xdr:colOff>172453</xdr:colOff>
      <xdr:row>8</xdr:row>
      <xdr:rowOff>90237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7A2267-086C-436C-9492-18019A49CCC0}"/>
            </a:ext>
          </a:extLst>
        </xdr:cNvPr>
        <xdr:cNvSpPr/>
      </xdr:nvSpPr>
      <xdr:spPr>
        <a:xfrm>
          <a:off x="3864142" y="1728538"/>
          <a:ext cx="338890" cy="2265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0</xdr:row>
      <xdr:rowOff>175260</xdr:rowOff>
    </xdr:from>
    <xdr:to>
      <xdr:col>7</xdr:col>
      <xdr:colOff>640080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53044E1-B4E5-448F-A935-F18D6BBA637F}"/>
            </a:ext>
          </a:extLst>
        </xdr:cNvPr>
        <xdr:cNvSpPr/>
      </xdr:nvSpPr>
      <xdr:spPr>
        <a:xfrm>
          <a:off x="20574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373381</xdr:colOff>
      <xdr:row>1</xdr:row>
      <xdr:rowOff>22860</xdr:rowOff>
    </xdr:from>
    <xdr:to>
      <xdr:col>6</xdr:col>
      <xdr:colOff>561976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8C81CD-41EB-4DF7-8F9D-BC99BB71BB22}"/>
            </a:ext>
          </a:extLst>
        </xdr:cNvPr>
        <xdr:cNvSpPr txBox="1"/>
      </xdr:nvSpPr>
      <xdr:spPr>
        <a:xfrm>
          <a:off x="373381" y="251460"/>
          <a:ext cx="456057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　原点</a:t>
          </a:r>
          <a:r>
            <a:rPr kumimoji="1" lang="en-US" altLang="ja-JP" sz="1100"/>
            <a:t>O</a:t>
          </a:r>
          <a:r>
            <a:rPr kumimoji="1" lang="ja-JP" altLang="en-US" sz="1100"/>
            <a:t>から角度</a:t>
          </a:r>
          <a:r>
            <a:rPr kumimoji="1" lang="en-US" altLang="ja-JP" sz="1100"/>
            <a:t>θ</a:t>
          </a:r>
          <a:r>
            <a:rPr kumimoji="1" lang="ja-JP" altLang="en-US" sz="1100"/>
            <a:t>の方向に</a:t>
          </a:r>
          <a:r>
            <a:rPr kumimoji="1" lang="en-US" altLang="ja-JP" sz="1100"/>
            <a:t>1</a:t>
          </a:r>
          <a:r>
            <a:rPr kumimoji="1" lang="ja-JP" altLang="en-US" sz="1100"/>
            <a:t>進んだ位置にある点</a:t>
          </a:r>
          <a:r>
            <a:rPr kumimoji="1" lang="en-US" altLang="ja-JP" sz="1100"/>
            <a:t>P</a:t>
          </a:r>
          <a:r>
            <a:rPr kumimoji="1" lang="ja-JP" altLang="en-US" sz="1100"/>
            <a:t>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3810</xdr:colOff>
      <xdr:row>10</xdr:row>
      <xdr:rowOff>3810</xdr:rowOff>
    </xdr:from>
    <xdr:to>
      <xdr:col>10</xdr:col>
      <xdr:colOff>251010</xdr:colOff>
      <xdr:row>25</xdr:row>
      <xdr:rowOff>129090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6E26C98-03CC-4A67-861C-F8FA2173F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569406</xdr:colOff>
      <xdr:row>7</xdr:row>
      <xdr:rowOff>150725</xdr:rowOff>
    </xdr:from>
    <xdr:to>
      <xdr:col>12</xdr:col>
      <xdr:colOff>75362</xdr:colOff>
      <xdr:row>9</xdr:row>
      <xdr:rowOff>92110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F7C8AFE-9123-4488-B667-0F4EA5BAF12C}"/>
            </a:ext>
          </a:extLst>
        </xdr:cNvPr>
        <xdr:cNvSpPr/>
      </xdr:nvSpPr>
      <xdr:spPr>
        <a:xfrm>
          <a:off x="6966857" y="1741714"/>
          <a:ext cx="1515626" cy="4103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410308</xdr:colOff>
      <xdr:row>5</xdr:row>
      <xdr:rowOff>167471</xdr:rowOff>
    </xdr:from>
    <xdr:to>
      <xdr:col>13</xdr:col>
      <xdr:colOff>33494</xdr:colOff>
      <xdr:row>7</xdr:row>
      <xdr:rowOff>58615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B6F0B60-5496-4EAE-B9D8-823B0D4A093C}"/>
            </a:ext>
          </a:extLst>
        </xdr:cNvPr>
        <xdr:cNvSpPr txBox="1"/>
      </xdr:nvSpPr>
      <xdr:spPr>
        <a:xfrm>
          <a:off x="6137868" y="1297911"/>
          <a:ext cx="2972637" cy="351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 b="1">
              <a:solidFill>
                <a:srgbClr val="FF0000"/>
              </a:solidFill>
            </a:rPr>
            <a:t>0</a:t>
          </a:r>
          <a:r>
            <a:rPr kumimoji="1" lang="ja-JP" altLang="en-US" sz="1200" b="1">
              <a:solidFill>
                <a:srgbClr val="FF0000"/>
              </a:solidFill>
            </a:rPr>
            <a:t>から</a:t>
          </a:r>
          <a:r>
            <a:rPr kumimoji="1" lang="en-US" altLang="ja-JP" sz="1200" b="1">
              <a:solidFill>
                <a:srgbClr val="FF0000"/>
              </a:solidFill>
            </a:rPr>
            <a:t>23</a:t>
          </a:r>
          <a:r>
            <a:rPr kumimoji="1" lang="ja-JP" altLang="en-US" sz="1200" b="1">
              <a:solidFill>
                <a:srgbClr val="FF0000"/>
              </a:solidFill>
            </a:rPr>
            <a:t>までの数字を入れてみましょう。</a:t>
          </a:r>
        </a:p>
      </xdr:txBody>
    </xdr:sp>
    <xdr:clientData/>
  </xdr:twoCellAnchor>
  <xdr:twoCellAnchor>
    <xdr:from>
      <xdr:col>1</xdr:col>
      <xdr:colOff>641943</xdr:colOff>
      <xdr:row>15</xdr:row>
      <xdr:rowOff>221586</xdr:rowOff>
    </xdr:from>
    <xdr:to>
      <xdr:col>3</xdr:col>
      <xdr:colOff>123825</xdr:colOff>
      <xdr:row>17</xdr:row>
      <xdr:rowOff>122255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9F56C7C-1521-424B-90C4-78DE7693B0DE}"/>
            </a:ext>
          </a:extLst>
        </xdr:cNvPr>
        <xdr:cNvSpPr txBox="1"/>
      </xdr:nvSpPr>
      <xdr:spPr>
        <a:xfrm>
          <a:off x="1308693" y="3726786"/>
          <a:ext cx="996357" cy="3578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rgbClr val="FF0000"/>
              </a:solidFill>
            </a:rPr>
            <a:t>角度対応表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7</xdr:col>
      <xdr:colOff>647700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27B872B-3156-45C0-AE62-B78913A95F58}"/>
            </a:ext>
          </a:extLst>
        </xdr:cNvPr>
        <xdr:cNvSpPr/>
      </xdr:nvSpPr>
      <xdr:spPr>
        <a:xfrm>
          <a:off x="510540" y="182880"/>
          <a:ext cx="48044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7</xdr:col>
      <xdr:colOff>19050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96B4BAB-990A-44DA-90BA-9FBDC1E246B6}"/>
            </a:ext>
          </a:extLst>
        </xdr:cNvPr>
        <xdr:cNvSpPr txBox="1"/>
      </xdr:nvSpPr>
      <xdr:spPr>
        <a:xfrm>
          <a:off x="674370" y="259080"/>
          <a:ext cx="401193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160020</xdr:colOff>
      <xdr:row>8</xdr:row>
      <xdr:rowOff>182880</xdr:rowOff>
    </xdr:from>
    <xdr:to>
      <xdr:col>11</xdr:col>
      <xdr:colOff>190500</xdr:colOff>
      <xdr:row>10</xdr:row>
      <xdr:rowOff>30480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3EF5E9-3399-44CD-B3F6-52FCC9494BA5}"/>
            </a:ext>
          </a:extLst>
        </xdr:cNvPr>
        <xdr:cNvSpPr txBox="1"/>
      </xdr:nvSpPr>
      <xdr:spPr>
        <a:xfrm>
          <a:off x="2842260" y="201930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FD55182-1CB8-458A-8ADB-AF3DE3E41804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9B50CC1-9DA2-49E4-A6E8-12BF3739F8A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390397</xdr:colOff>
      <xdr:row>13</xdr:row>
      <xdr:rowOff>111643</xdr:rowOff>
    </xdr:from>
    <xdr:to>
      <xdr:col>10</xdr:col>
      <xdr:colOff>286123</xdr:colOff>
      <xdr:row>18</xdr:row>
      <xdr:rowOff>25314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16B3F9D-E05A-4C05-8BB6-14C058AE2A41}"/>
            </a:ext>
          </a:extLst>
        </xdr:cNvPr>
        <xdr:cNvSpPr/>
      </xdr:nvSpPr>
      <xdr:spPr>
        <a:xfrm>
          <a:off x="3760782" y="3052181"/>
          <a:ext cx="3266110" cy="103713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540391</xdr:colOff>
      <xdr:row>14</xdr:row>
      <xdr:rowOff>87979</xdr:rowOff>
    </xdr:from>
    <xdr:to>
      <xdr:col>10</xdr:col>
      <xdr:colOff>195485</xdr:colOff>
      <xdr:row>17</xdr:row>
      <xdr:rowOff>164179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384AE13-FAAB-433D-9558-F904FEDE991F}"/>
            </a:ext>
          </a:extLst>
        </xdr:cNvPr>
        <xdr:cNvSpPr txBox="1"/>
      </xdr:nvSpPr>
      <xdr:spPr>
        <a:xfrm>
          <a:off x="3910776" y="3253210"/>
          <a:ext cx="3025478" cy="750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625376</xdr:colOff>
      <xdr:row>7</xdr:row>
      <xdr:rowOff>220980</xdr:rowOff>
    </xdr:from>
    <xdr:to>
      <xdr:col>4</xdr:col>
      <xdr:colOff>31547</xdr:colOff>
      <xdr:row>34</xdr:row>
      <xdr:rowOff>45720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029F66C-48A6-4AF6-A756-84AF916462BA}"/>
            </a:ext>
          </a:extLst>
        </xdr:cNvPr>
        <xdr:cNvSpPr/>
      </xdr:nvSpPr>
      <xdr:spPr>
        <a:xfrm>
          <a:off x="1300290" y="1821180"/>
          <a:ext cx="1430914" cy="60295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361852</xdr:colOff>
      <xdr:row>8</xdr:row>
      <xdr:rowOff>3322</xdr:rowOff>
    </xdr:from>
    <xdr:to>
      <xdr:col>17</xdr:col>
      <xdr:colOff>660406</xdr:colOff>
      <xdr:row>12</xdr:row>
      <xdr:rowOff>51383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14A9F7D-835C-4146-A3E0-EF40FF212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-515" b="79244"/>
        <a:stretch/>
      </xdr:blipFill>
      <xdr:spPr>
        <a:xfrm>
          <a:off x="3732237" y="1810630"/>
          <a:ext cx="8387477" cy="956599"/>
        </a:xfrm>
        <a:prstGeom prst="rect">
          <a:avLst/>
        </a:prstGeom>
      </xdr:spPr>
    </xdr:pic>
    <xdr:clientData/>
  </xdr:twoCellAnchor>
  <xdr:twoCellAnchor>
    <xdr:from>
      <xdr:col>10</xdr:col>
      <xdr:colOff>674042</xdr:colOff>
      <xdr:row>10</xdr:row>
      <xdr:rowOff>88793</xdr:rowOff>
    </xdr:from>
    <xdr:to>
      <xdr:col>11</xdr:col>
      <xdr:colOff>338855</xdr:colOff>
      <xdr:row>11</xdr:row>
      <xdr:rowOff>215227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C8559C9-F909-42FB-AF59-1C670507FB4B}"/>
            </a:ext>
          </a:extLst>
        </xdr:cNvPr>
        <xdr:cNvSpPr/>
      </xdr:nvSpPr>
      <xdr:spPr>
        <a:xfrm>
          <a:off x="7414811" y="2355255"/>
          <a:ext cx="338890" cy="3511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316797</xdr:colOff>
      <xdr:row>8</xdr:row>
      <xdr:rowOff>164592</xdr:rowOff>
    </xdr:from>
    <xdr:to>
      <xdr:col>6</xdr:col>
      <xdr:colOff>659204</xdr:colOff>
      <xdr:row>9</xdr:row>
      <xdr:rowOff>154966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E8D55F0-EE3E-4231-9FBF-ED959A9D280F}"/>
            </a:ext>
          </a:extLst>
        </xdr:cNvPr>
        <xdr:cNvSpPr/>
      </xdr:nvSpPr>
      <xdr:spPr>
        <a:xfrm>
          <a:off x="4361259" y="1971900"/>
          <a:ext cx="342407" cy="22483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273538</xdr:colOff>
      <xdr:row>13</xdr:row>
      <xdr:rowOff>181290</xdr:rowOff>
    </xdr:from>
    <xdr:to>
      <xdr:col>18</xdr:col>
      <xdr:colOff>121975</xdr:colOff>
      <xdr:row>25</xdr:row>
      <xdr:rowOff>181289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2425AFC-3640-42D0-AE7B-8F9A867E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19209</xdr:colOff>
      <xdr:row>31</xdr:row>
      <xdr:rowOff>213552</xdr:rowOff>
    </xdr:from>
    <xdr:to>
      <xdr:col>17</xdr:col>
      <xdr:colOff>257444</xdr:colOff>
      <xdr:row>47</xdr:row>
      <xdr:rowOff>216464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B29D59D-A249-49CC-B98A-697D91522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603182</xdr:colOff>
      <xdr:row>27</xdr:row>
      <xdr:rowOff>12065</xdr:rowOff>
    </xdr:from>
    <xdr:to>
      <xdr:col>13</xdr:col>
      <xdr:colOff>208430</xdr:colOff>
      <xdr:row>30</xdr:row>
      <xdr:rowOff>99252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CF67C25-F82D-424D-B698-1847C712F821}"/>
            </a:ext>
          </a:extLst>
        </xdr:cNvPr>
        <xdr:cNvSpPr/>
      </xdr:nvSpPr>
      <xdr:spPr>
        <a:xfrm>
          <a:off x="5309653" y="6085653"/>
          <a:ext cx="3639365" cy="75954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613181</xdr:colOff>
      <xdr:row>27</xdr:row>
      <xdr:rowOff>114548</xdr:rowOff>
    </xdr:from>
    <xdr:to>
      <xdr:col>13</xdr:col>
      <xdr:colOff>249382</xdr:colOff>
      <xdr:row>30</xdr:row>
      <xdr:rowOff>190748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E58C015-747F-4E3C-B530-97BF643EF35A}"/>
            </a:ext>
          </a:extLst>
        </xdr:cNvPr>
        <xdr:cNvSpPr txBox="1"/>
      </xdr:nvSpPr>
      <xdr:spPr>
        <a:xfrm>
          <a:off x="5268308" y="6473784"/>
          <a:ext cx="3626310" cy="782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①「グラフ要素」を全て消す。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②「図形の書式設定」からサイズを１０</a:t>
          </a:r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1100" b="1">
              <a:solidFill>
                <a:srgbClr val="FF0000"/>
              </a:solidFill>
            </a:rPr>
            <a:t>１０へ変更</a:t>
          </a:r>
        </a:p>
      </xdr:txBody>
    </xdr:sp>
    <xdr:clientData/>
  </xdr:twoCellAnchor>
  <xdr:twoCellAnchor>
    <xdr:from>
      <xdr:col>6</xdr:col>
      <xdr:colOff>454129</xdr:colOff>
      <xdr:row>19</xdr:row>
      <xdr:rowOff>41869</xdr:rowOff>
    </xdr:from>
    <xdr:to>
      <xdr:col>9</xdr:col>
      <xdr:colOff>127557</xdr:colOff>
      <xdr:row>20</xdr:row>
      <xdr:rowOff>103275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73B8AA0E-14F9-42E5-A02C-258A05A2F119}"/>
            </a:ext>
          </a:extLst>
        </xdr:cNvPr>
        <xdr:cNvSpPr/>
      </xdr:nvSpPr>
      <xdr:spPr>
        <a:xfrm>
          <a:off x="4498591" y="4330561"/>
          <a:ext cx="1695658" cy="28609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335958</xdr:colOff>
      <xdr:row>49</xdr:row>
      <xdr:rowOff>111375</xdr:rowOff>
    </xdr:from>
    <xdr:to>
      <xdr:col>14</xdr:col>
      <xdr:colOff>627248</xdr:colOff>
      <xdr:row>52</xdr:row>
      <xdr:rowOff>138640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62067901-3CE4-4A12-B8BC-B22A6567DFD0}"/>
            </a:ext>
          </a:extLst>
        </xdr:cNvPr>
        <xdr:cNvSpPr/>
      </xdr:nvSpPr>
      <xdr:spPr>
        <a:xfrm rot="5400000">
          <a:off x="9424934" y="11873490"/>
          <a:ext cx="733847" cy="29129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111223</xdr:colOff>
      <xdr:row>31</xdr:row>
      <xdr:rowOff>145436</xdr:rowOff>
    </xdr:from>
    <xdr:to>
      <xdr:col>11</xdr:col>
      <xdr:colOff>349847</xdr:colOff>
      <xdr:row>38</xdr:row>
      <xdr:rowOff>224116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BC641BC-D0F8-4516-8A61-7CEDF68AB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947" t="37183" r="30906" b="37403"/>
        <a:stretch/>
      </xdr:blipFill>
      <xdr:spPr>
        <a:xfrm>
          <a:off x="3472988" y="7115495"/>
          <a:ext cx="4272741" cy="1658709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5</xdr:col>
      <xdr:colOff>134470</xdr:colOff>
      <xdr:row>39</xdr:row>
      <xdr:rowOff>175668</xdr:rowOff>
    </xdr:from>
    <xdr:to>
      <xdr:col>11</xdr:col>
      <xdr:colOff>313765</xdr:colOff>
      <xdr:row>42</xdr:row>
      <xdr:rowOff>224116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45485B8-0AC9-4C0F-8CD6-5C80C83F4600}"/>
            </a:ext>
          </a:extLst>
        </xdr:cNvPr>
        <xdr:cNvSpPr/>
      </xdr:nvSpPr>
      <xdr:spPr>
        <a:xfrm>
          <a:off x="3496235" y="8949874"/>
          <a:ext cx="4213412" cy="7208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168088</xdr:colOff>
      <xdr:row>40</xdr:row>
      <xdr:rowOff>54034</xdr:rowOff>
    </xdr:from>
    <xdr:to>
      <xdr:col>11</xdr:col>
      <xdr:colOff>560294</xdr:colOff>
      <xdr:row>43</xdr:row>
      <xdr:rowOff>130235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EED6656-3644-4879-9AEE-4D16B9B0292A}"/>
            </a:ext>
          </a:extLst>
        </xdr:cNvPr>
        <xdr:cNvSpPr txBox="1"/>
      </xdr:nvSpPr>
      <xdr:spPr>
        <a:xfrm>
          <a:off x="3529853" y="9052358"/>
          <a:ext cx="4426323" cy="748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↑グラフの要素は「＋」マークの部分から。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ここのチェックをはずすことで余計なメモリや座標げ消せます。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18</xdr:col>
      <xdr:colOff>16928</xdr:colOff>
      <xdr:row>28</xdr:row>
      <xdr:rowOff>180837</xdr:rowOff>
    </xdr:from>
    <xdr:to>
      <xdr:col>22</xdr:col>
      <xdr:colOff>94684</xdr:colOff>
      <xdr:row>47</xdr:row>
      <xdr:rowOff>32282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319C8BB-9972-48F8-8008-64BB952CA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76871" t="32057" r="42" b="6823"/>
        <a:stretch/>
      </xdr:blipFill>
      <xdr:spPr>
        <a:xfrm>
          <a:off x="12170346" y="6662660"/>
          <a:ext cx="2778515" cy="4249825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19</xdr:col>
      <xdr:colOff>52102</xdr:colOff>
      <xdr:row>31</xdr:row>
      <xdr:rowOff>65697</xdr:rowOff>
    </xdr:from>
    <xdr:to>
      <xdr:col>19</xdr:col>
      <xdr:colOff>390992</xdr:colOff>
      <xdr:row>32</xdr:row>
      <xdr:rowOff>198933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8665E15-026D-42BE-85F3-C02D6316B9E6}"/>
            </a:ext>
          </a:extLst>
        </xdr:cNvPr>
        <xdr:cNvSpPr/>
      </xdr:nvSpPr>
      <xdr:spPr>
        <a:xfrm>
          <a:off x="12880710" y="7242001"/>
          <a:ext cx="338890" cy="36472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435996</xdr:colOff>
      <xdr:row>33</xdr:row>
      <xdr:rowOff>169870</xdr:rowOff>
    </xdr:from>
    <xdr:to>
      <xdr:col>21</xdr:col>
      <xdr:colOff>588380</xdr:colOff>
      <xdr:row>36</xdr:row>
      <xdr:rowOff>57874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7F8E483-9D63-48F1-88ED-E46CAE1ADBB3}"/>
            </a:ext>
          </a:extLst>
        </xdr:cNvPr>
        <xdr:cNvSpPr/>
      </xdr:nvSpPr>
      <xdr:spPr>
        <a:xfrm>
          <a:off x="13939793" y="7809161"/>
          <a:ext cx="827574" cy="5824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234462</xdr:colOff>
      <xdr:row>49</xdr:row>
      <xdr:rowOff>487</xdr:rowOff>
    </xdr:from>
    <xdr:to>
      <xdr:col>11</xdr:col>
      <xdr:colOff>525408</xdr:colOff>
      <xdr:row>56</xdr:row>
      <xdr:rowOff>156308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5B7F3C7-B52E-4CD0-846B-B5BDBFBE0A9F}"/>
            </a:ext>
          </a:extLst>
        </xdr:cNvPr>
        <xdr:cNvSpPr/>
      </xdr:nvSpPr>
      <xdr:spPr>
        <a:xfrm>
          <a:off x="2256693" y="11039718"/>
          <a:ext cx="5683561" cy="172866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469991</xdr:colOff>
      <xdr:row>49</xdr:row>
      <xdr:rowOff>147553</xdr:rowOff>
    </xdr:from>
    <xdr:to>
      <xdr:col>11</xdr:col>
      <xdr:colOff>303736</xdr:colOff>
      <xdr:row>56</xdr:row>
      <xdr:rowOff>205154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402891F-594B-4F49-9326-874C76CCB030}"/>
            </a:ext>
          </a:extLst>
        </xdr:cNvPr>
        <xdr:cNvSpPr txBox="1"/>
      </xdr:nvSpPr>
      <xdr:spPr>
        <a:xfrm>
          <a:off x="2492222" y="11186784"/>
          <a:ext cx="5226360" cy="1630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③グラフ上の点を選択し、右クリックし「データ系列の書式設定」を開く。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「図形の書式設定」が出ている状態で点を選択すると自動的に「データ系列の書式設定」に切り替わります。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④「データ系列の書式設定」の「線」を選び、「線（単色）」を選択。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この設定から線の色や太さ、点（マーカー）の色や形を自由に選択することができます。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370647</xdr:colOff>
      <xdr:row>26</xdr:row>
      <xdr:rowOff>200999</xdr:rowOff>
    </xdr:from>
    <xdr:to>
      <xdr:col>15</xdr:col>
      <xdr:colOff>5977</xdr:colOff>
      <xdr:row>30</xdr:row>
      <xdr:rowOff>14405</xdr:rowOff>
    </xdr:to>
    <xdr:sp macro="" textlink="">
      <xdr:nvSpPr>
        <xdr:cNvPr id="28" name="矢印: 右 27">
          <a:extLst>
            <a:ext uri="{FF2B5EF4-FFF2-40B4-BE49-F238E27FC236}">
              <a16:creationId xmlns:a16="http://schemas.microsoft.com/office/drawing/2014/main" id="{F2713AB9-7ACF-40E7-B585-5A88B191E371}"/>
            </a:ext>
          </a:extLst>
        </xdr:cNvPr>
        <xdr:cNvSpPr/>
      </xdr:nvSpPr>
      <xdr:spPr>
        <a:xfrm rot="5400000">
          <a:off x="9453318" y="6552292"/>
          <a:ext cx="755515" cy="30034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27035</xdr:colOff>
      <xdr:row>51</xdr:row>
      <xdr:rowOff>120804</xdr:rowOff>
    </xdr:from>
    <xdr:to>
      <xdr:col>22</xdr:col>
      <xdr:colOff>160463</xdr:colOff>
      <xdr:row>70</xdr:row>
      <xdr:rowOff>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25D2DC2E-150E-440F-B1FA-997B1F466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7154" t="32051" r="1021" b="7444"/>
        <a:stretch/>
      </xdr:blipFill>
      <xdr:spPr>
        <a:xfrm>
          <a:off x="12070352" y="11968975"/>
          <a:ext cx="2809721" cy="429322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18</xdr:col>
      <xdr:colOff>233085</xdr:colOff>
      <xdr:row>58</xdr:row>
      <xdr:rowOff>198454</xdr:rowOff>
    </xdr:from>
    <xdr:to>
      <xdr:col>19</xdr:col>
      <xdr:colOff>538976</xdr:colOff>
      <xdr:row>59</xdr:row>
      <xdr:rowOff>167269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5138BA1-D467-45F6-8A1F-99661D65F274}"/>
            </a:ext>
          </a:extLst>
        </xdr:cNvPr>
        <xdr:cNvSpPr/>
      </xdr:nvSpPr>
      <xdr:spPr>
        <a:xfrm>
          <a:off x="12276402" y="13672844"/>
          <a:ext cx="974964" cy="20113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134583</xdr:colOff>
      <xdr:row>54</xdr:row>
      <xdr:rowOff>99951</xdr:rowOff>
    </xdr:from>
    <xdr:to>
      <xdr:col>18</xdr:col>
      <xdr:colOff>427463</xdr:colOff>
      <xdr:row>55</xdr:row>
      <xdr:rowOff>130098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5AB3AA0-E179-440C-999F-BDBEDDD746DA}"/>
            </a:ext>
          </a:extLst>
        </xdr:cNvPr>
        <xdr:cNvSpPr/>
      </xdr:nvSpPr>
      <xdr:spPr>
        <a:xfrm>
          <a:off x="12177900" y="12645073"/>
          <a:ext cx="292880" cy="2624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20623</xdr:colOff>
      <xdr:row>54</xdr:row>
      <xdr:rowOff>5862</xdr:rowOff>
    </xdr:from>
    <xdr:to>
      <xdr:col>17</xdr:col>
      <xdr:colOff>250238</xdr:colOff>
      <xdr:row>70</xdr:row>
      <xdr:rowOff>10785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D4A3719A-5E79-4582-8B89-E12E1E37A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7</xdr:col>
      <xdr:colOff>657225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472E7FB-841B-4025-BA4F-17AAF876C9FB}"/>
            </a:ext>
          </a:extLst>
        </xdr:cNvPr>
        <xdr:cNvSpPr/>
      </xdr:nvSpPr>
      <xdr:spPr>
        <a:xfrm>
          <a:off x="510540" y="182880"/>
          <a:ext cx="4813935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7</xdr:col>
      <xdr:colOff>466725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7012180-B025-4CC4-8A43-C49A0C0BEB86}"/>
            </a:ext>
          </a:extLst>
        </xdr:cNvPr>
        <xdr:cNvSpPr txBox="1"/>
      </xdr:nvSpPr>
      <xdr:spPr>
        <a:xfrm>
          <a:off x="674370" y="259080"/>
          <a:ext cx="4459605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152400</xdr:colOff>
      <xdr:row>8</xdr:row>
      <xdr:rowOff>190500</xdr:rowOff>
    </xdr:from>
    <xdr:to>
      <xdr:col>11</xdr:col>
      <xdr:colOff>182880</xdr:colOff>
      <xdr:row>10</xdr:row>
      <xdr:rowOff>38100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2996369-9D14-41F3-9792-F5187A2A7E13}"/>
            </a:ext>
          </a:extLst>
        </xdr:cNvPr>
        <xdr:cNvSpPr txBox="1"/>
      </xdr:nvSpPr>
      <xdr:spPr>
        <a:xfrm>
          <a:off x="2834640" y="202692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E9DB6D-FDFA-4CE0-A5D1-A2632511A578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E585433-3950-4253-B874-A89A9823E01F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7</xdr:col>
      <xdr:colOff>666750</xdr:colOff>
      <xdr:row>9</xdr:row>
      <xdr:rowOff>217170</xdr:rowOff>
    </xdr:from>
    <xdr:to>
      <xdr:col>13</xdr:col>
      <xdr:colOff>243390</xdr:colOff>
      <xdr:row>25</xdr:row>
      <xdr:rowOff>159570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98839AB-ADF7-4F2E-B12E-554AF43C2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7</xdr:row>
      <xdr:rowOff>60961</xdr:rowOff>
    </xdr:from>
    <xdr:to>
      <xdr:col>12</xdr:col>
      <xdr:colOff>38100</xdr:colOff>
      <xdr:row>9</xdr:row>
      <xdr:rowOff>121921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07199CA-C684-4499-A11C-66DAE890D17F}"/>
            </a:ext>
          </a:extLst>
        </xdr:cNvPr>
        <xdr:cNvSpPr/>
      </xdr:nvSpPr>
      <xdr:spPr>
        <a:xfrm>
          <a:off x="3086100" y="1661161"/>
          <a:ext cx="4998720" cy="533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475578</xdr:colOff>
      <xdr:row>7</xdr:row>
      <xdr:rowOff>167233</xdr:rowOff>
    </xdr:from>
    <xdr:to>
      <xdr:col>12</xdr:col>
      <xdr:colOff>251460</xdr:colOff>
      <xdr:row>11</xdr:row>
      <xdr:rowOff>20376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8EF3381-E49B-4225-B05D-5D492092E0F1}"/>
            </a:ext>
          </a:extLst>
        </xdr:cNvPr>
        <xdr:cNvSpPr txBox="1"/>
      </xdr:nvSpPr>
      <xdr:spPr>
        <a:xfrm>
          <a:off x="3157818" y="1767433"/>
          <a:ext cx="5140362" cy="782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演習問題３と流れは全く同じなので演習問題３の解答を参照してください。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29F3C08-F77A-482D-872B-769F46EB2DA7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A5BABE4-B2EA-4BC9-8EA6-F009F058D499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433137</xdr:colOff>
      <xdr:row>8</xdr:row>
      <xdr:rowOff>176463</xdr:rowOff>
    </xdr:from>
    <xdr:to>
      <xdr:col>12</xdr:col>
      <xdr:colOff>441158</xdr:colOff>
      <xdr:row>10</xdr:row>
      <xdr:rowOff>23662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0A9A45F-AF76-48D8-AE3F-412D0762ECE6}"/>
            </a:ext>
          </a:extLst>
        </xdr:cNvPr>
        <xdr:cNvSpPr txBox="1"/>
      </xdr:nvSpPr>
      <xdr:spPr>
        <a:xfrm>
          <a:off x="3801979" y="2037347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9B8116B-16FD-40A6-982F-D597D44E46B6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59C2AE8-5FE6-484C-A164-1FF3A2A6DFE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6</xdr:col>
      <xdr:colOff>112294</xdr:colOff>
      <xdr:row>14</xdr:row>
      <xdr:rowOff>0</xdr:rowOff>
    </xdr:from>
    <xdr:to>
      <xdr:col>8</xdr:col>
      <xdr:colOff>40106</xdr:colOff>
      <xdr:row>15</xdr:row>
      <xdr:rowOff>72189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84E68D9E-B295-4FC5-B8CA-516579BC6440}"/>
            </a:ext>
          </a:extLst>
        </xdr:cNvPr>
        <xdr:cNvSpPr/>
      </xdr:nvSpPr>
      <xdr:spPr>
        <a:xfrm>
          <a:off x="4154905" y="3256547"/>
          <a:ext cx="1275348" cy="30480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633664</xdr:colOff>
      <xdr:row>7</xdr:row>
      <xdr:rowOff>184483</xdr:rowOff>
    </xdr:from>
    <xdr:to>
      <xdr:col>4</xdr:col>
      <xdr:colOff>24063</xdr:colOff>
      <xdr:row>34</xdr:row>
      <xdr:rowOff>40104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6D63A81-E936-4950-B77C-FAC5765CB4CA}"/>
            </a:ext>
          </a:extLst>
        </xdr:cNvPr>
        <xdr:cNvSpPr/>
      </xdr:nvSpPr>
      <xdr:spPr>
        <a:xfrm>
          <a:off x="1307432" y="1812757"/>
          <a:ext cx="1411705" cy="6136105"/>
        </a:xfrm>
        <a:prstGeom prst="rect">
          <a:avLst/>
        </a:prstGeom>
        <a:noFill/>
        <a:ln w="38100">
          <a:solidFill>
            <a:srgbClr val="FF0000">
              <a:alpha val="90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328862</xdr:colOff>
      <xdr:row>10</xdr:row>
      <xdr:rowOff>216569</xdr:rowOff>
    </xdr:from>
    <xdr:to>
      <xdr:col>9</xdr:col>
      <xdr:colOff>505325</xdr:colOff>
      <xdr:row>12</xdr:row>
      <xdr:rowOff>64169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961E8BC-0060-4D58-B2BA-9CED4ABA882E}"/>
            </a:ext>
          </a:extLst>
        </xdr:cNvPr>
        <xdr:cNvSpPr txBox="1"/>
      </xdr:nvSpPr>
      <xdr:spPr>
        <a:xfrm>
          <a:off x="3023936" y="254267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①演習問題３と同様の流れで正２４角形を作成します。</a:t>
          </a:r>
        </a:p>
      </xdr:txBody>
    </xdr:sp>
    <xdr:clientData/>
  </xdr:twoCellAnchor>
  <xdr:twoCellAnchor>
    <xdr:from>
      <xdr:col>10</xdr:col>
      <xdr:colOff>16041</xdr:colOff>
      <xdr:row>8</xdr:row>
      <xdr:rowOff>192505</xdr:rowOff>
    </xdr:from>
    <xdr:to>
      <xdr:col>15</xdr:col>
      <xdr:colOff>247199</xdr:colOff>
      <xdr:row>24</xdr:row>
      <xdr:rowOff>70736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12321A4-1C2E-4FDD-97B9-F5AF08F5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312820</xdr:colOff>
      <xdr:row>16</xdr:row>
      <xdr:rowOff>120316</xdr:rowOff>
    </xdr:from>
    <xdr:to>
      <xdr:col>9</xdr:col>
      <xdr:colOff>489283</xdr:colOff>
      <xdr:row>17</xdr:row>
      <xdr:rowOff>200526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CD03485-E88B-4B02-BC0C-88511C6D3675}"/>
            </a:ext>
          </a:extLst>
        </xdr:cNvPr>
        <xdr:cNvSpPr txBox="1"/>
      </xdr:nvSpPr>
      <xdr:spPr>
        <a:xfrm>
          <a:off x="3007894" y="384208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②周期を変えてみましょう。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10438</xdr:colOff>
      <xdr:row>2</xdr:row>
      <xdr:rowOff>230688</xdr:rowOff>
    </xdr:from>
    <xdr:to>
      <xdr:col>21</xdr:col>
      <xdr:colOff>280604</xdr:colOff>
      <xdr:row>18</xdr:row>
      <xdr:rowOff>135510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C3F948D-B6A8-461D-B50A-EB3C43ABA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EC7DE3D-637D-428D-A50C-C0B16AD7C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B3D6E7B-458A-4649-9FEF-3F4A40E3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6787BFA-5D98-4D40-887A-8C4CCDDCF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20876</xdr:colOff>
      <xdr:row>3</xdr:row>
      <xdr:rowOff>1043</xdr:rowOff>
    </xdr:from>
    <xdr:to>
      <xdr:col>21</xdr:col>
      <xdr:colOff>280602</xdr:colOff>
      <xdr:row>18</xdr:row>
      <xdr:rowOff>145948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D08E35D-41ED-45FA-AF39-03B5F0394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619933</xdr:colOff>
      <xdr:row>22</xdr:row>
      <xdr:rowOff>193728</xdr:rowOff>
    </xdr:from>
    <xdr:to>
      <xdr:col>21</xdr:col>
      <xdr:colOff>400372</xdr:colOff>
      <xdr:row>25</xdr:row>
      <xdr:rowOff>167898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CE16E98-4387-454F-99BA-8F16D1C032D2}"/>
            </a:ext>
          </a:extLst>
        </xdr:cNvPr>
        <xdr:cNvSpPr txBox="1"/>
      </xdr:nvSpPr>
      <xdr:spPr>
        <a:xfrm>
          <a:off x="10693831" y="5308169"/>
          <a:ext cx="3809999" cy="6715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ベースは正６４角形です。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周期を調整して素数曼荼羅を作成してみましょう。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4F7-6795-4876-A3E3-124483EF7E48}">
  <dimension ref="B7:D28"/>
  <sheetViews>
    <sheetView tabSelected="1" zoomScale="80" zoomScaleNormal="80" workbookViewId="0">
      <selection activeCell="B8" sqref="B8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A1E8-007D-4A44-BE16-EC75761B0788}">
  <sheetPr>
    <tabColor rgb="FFFF0000"/>
  </sheetPr>
  <dimension ref="B7:D28"/>
  <sheetViews>
    <sheetView zoomScale="80" zoomScaleNormal="80" workbookViewId="0">
      <selection activeCell="B8" sqref="B8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B921-5F25-4AC2-93C0-FA054F933F7A}">
  <dimension ref="B7:L36"/>
  <sheetViews>
    <sheetView zoomScale="80" zoomScaleNormal="80" workbookViewId="0">
      <selection activeCell="B8" sqref="B8"/>
    </sheetView>
  </sheetViews>
  <sheetFormatPr defaultRowHeight="18" x14ac:dyDescent="0.45"/>
  <cols>
    <col min="3" max="3" width="11.09765625" customWidth="1"/>
    <col min="4" max="4" width="11.296875" customWidth="1"/>
  </cols>
  <sheetData>
    <row r="7" spans="2:12" ht="18.600000000000001" thickBot="1" x14ac:dyDescent="0.5"/>
    <row r="8" spans="2:12" ht="18.600000000000001" thickBot="1" x14ac:dyDescent="0.5">
      <c r="B8" s="18"/>
      <c r="C8" s="11" t="s">
        <v>3</v>
      </c>
      <c r="D8" s="13" t="s">
        <v>4</v>
      </c>
    </row>
    <row r="9" spans="2:12" ht="18.600000000000001" thickBot="1" x14ac:dyDescent="0.5">
      <c r="B9" s="11" t="s">
        <v>7</v>
      </c>
      <c r="C9" s="30">
        <v>0</v>
      </c>
      <c r="D9" s="31">
        <v>0</v>
      </c>
      <c r="F9" s="11" t="s">
        <v>8</v>
      </c>
      <c r="G9" s="36">
        <f>2*PI()*L9/24</f>
        <v>0.26179938779914941</v>
      </c>
      <c r="H9" s="17" t="s">
        <v>60</v>
      </c>
      <c r="K9" s="11" t="s">
        <v>65</v>
      </c>
      <c r="L9" s="4">
        <v>1</v>
      </c>
    </row>
    <row r="10" spans="2:12" ht="18.600000000000001" thickBot="1" x14ac:dyDescent="0.5">
      <c r="B10" s="29" t="s">
        <v>5</v>
      </c>
      <c r="C10" s="32">
        <f>COS(G9)</f>
        <v>0.96592582628906831</v>
      </c>
      <c r="D10" s="33">
        <f>SIN(G9)</f>
        <v>0.25881904510252074</v>
      </c>
    </row>
    <row r="11" spans="2:12" ht="18.600000000000001" thickBot="1" x14ac:dyDescent="0.5">
      <c r="B11" s="14" t="s">
        <v>61</v>
      </c>
      <c r="C11" s="34">
        <v>1</v>
      </c>
      <c r="D11" s="35">
        <v>0</v>
      </c>
    </row>
    <row r="12" spans="2:12" ht="18.600000000000001" thickBot="1" x14ac:dyDescent="0.5">
      <c r="B12" s="14" t="s">
        <v>62</v>
      </c>
      <c r="C12" s="34">
        <v>0</v>
      </c>
      <c r="D12" s="35">
        <v>1</v>
      </c>
    </row>
    <row r="13" spans="2:12" ht="18.600000000000001" thickBot="1" x14ac:dyDescent="0.5">
      <c r="B13" s="14" t="s">
        <v>63</v>
      </c>
      <c r="C13" s="34">
        <v>-1</v>
      </c>
      <c r="D13" s="35">
        <v>0</v>
      </c>
    </row>
    <row r="14" spans="2:12" ht="18.600000000000001" thickBot="1" x14ac:dyDescent="0.5">
      <c r="B14" s="14" t="s">
        <v>64</v>
      </c>
      <c r="C14" s="34">
        <v>0</v>
      </c>
      <c r="D14" s="35">
        <v>-1</v>
      </c>
    </row>
    <row r="18" spans="2:4" ht="18.600000000000001" thickBot="1" x14ac:dyDescent="0.5"/>
    <row r="19" spans="2:4" ht="18.600000000000001" thickBot="1" x14ac:dyDescent="0.5">
      <c r="B19" s="15" t="s">
        <v>6</v>
      </c>
      <c r="C19" s="16" t="s">
        <v>59</v>
      </c>
      <c r="D19" s="16" t="s">
        <v>59</v>
      </c>
    </row>
    <row r="20" spans="2:4" x14ac:dyDescent="0.45">
      <c r="B20" s="37" t="s">
        <v>9</v>
      </c>
      <c r="C20" s="38">
        <v>0</v>
      </c>
      <c r="D20" s="39" t="s">
        <v>58</v>
      </c>
    </row>
    <row r="21" spans="2:4" x14ac:dyDescent="0.45">
      <c r="B21" s="40" t="s">
        <v>10</v>
      </c>
      <c r="C21" s="41" t="s">
        <v>26</v>
      </c>
      <c r="D21" s="42" t="s">
        <v>39</v>
      </c>
    </row>
    <row r="22" spans="2:4" x14ac:dyDescent="0.45">
      <c r="B22" s="40" t="s">
        <v>12</v>
      </c>
      <c r="C22" s="41" t="s">
        <v>27</v>
      </c>
      <c r="D22" s="42" t="s">
        <v>40</v>
      </c>
    </row>
    <row r="23" spans="2:4" x14ac:dyDescent="0.45">
      <c r="B23" s="40" t="s">
        <v>11</v>
      </c>
      <c r="C23" s="41" t="s">
        <v>28</v>
      </c>
      <c r="D23" s="42" t="s">
        <v>41</v>
      </c>
    </row>
    <row r="24" spans="2:4" x14ac:dyDescent="0.45">
      <c r="B24" s="40" t="s">
        <v>13</v>
      </c>
      <c r="C24" s="41" t="s">
        <v>29</v>
      </c>
      <c r="D24" s="42" t="s">
        <v>42</v>
      </c>
    </row>
    <row r="25" spans="2:4" x14ac:dyDescent="0.45">
      <c r="B25" s="40" t="s">
        <v>14</v>
      </c>
      <c r="C25" s="41" t="s">
        <v>30</v>
      </c>
      <c r="D25" s="42" t="s">
        <v>43</v>
      </c>
    </row>
    <row r="26" spans="2:4" x14ac:dyDescent="0.45">
      <c r="B26" s="40" t="s">
        <v>15</v>
      </c>
      <c r="C26" s="41" t="s">
        <v>31</v>
      </c>
      <c r="D26" s="42" t="s">
        <v>44</v>
      </c>
    </row>
    <row r="27" spans="2:4" x14ac:dyDescent="0.45">
      <c r="B27" s="40" t="s">
        <v>16</v>
      </c>
      <c r="C27" s="41" t="s">
        <v>32</v>
      </c>
      <c r="D27" s="42" t="s">
        <v>45</v>
      </c>
    </row>
    <row r="28" spans="2:4" x14ac:dyDescent="0.45">
      <c r="B28" s="40" t="s">
        <v>17</v>
      </c>
      <c r="C28" s="41" t="s">
        <v>33</v>
      </c>
      <c r="D28" s="42" t="s">
        <v>46</v>
      </c>
    </row>
    <row r="29" spans="2:4" x14ac:dyDescent="0.45">
      <c r="B29" s="40" t="s">
        <v>18</v>
      </c>
      <c r="C29" s="41" t="s">
        <v>34</v>
      </c>
      <c r="D29" s="42" t="s">
        <v>47</v>
      </c>
    </row>
    <row r="30" spans="2:4" x14ac:dyDescent="0.45">
      <c r="B30" s="40" t="s">
        <v>19</v>
      </c>
      <c r="C30" s="41" t="s">
        <v>35</v>
      </c>
      <c r="D30" s="42" t="s">
        <v>48</v>
      </c>
    </row>
    <row r="31" spans="2:4" x14ac:dyDescent="0.45">
      <c r="B31" s="40" t="s">
        <v>20</v>
      </c>
      <c r="C31" s="41" t="s">
        <v>36</v>
      </c>
      <c r="D31" s="42" t="s">
        <v>49</v>
      </c>
    </row>
    <row r="32" spans="2:4" x14ac:dyDescent="0.45">
      <c r="B32" s="40" t="s">
        <v>21</v>
      </c>
      <c r="C32" s="41" t="s">
        <v>37</v>
      </c>
      <c r="D32" s="42" t="s">
        <v>50</v>
      </c>
    </row>
    <row r="33" spans="2:4" x14ac:dyDescent="0.45">
      <c r="B33" s="40" t="s">
        <v>22</v>
      </c>
      <c r="C33" s="41" t="s">
        <v>38</v>
      </c>
      <c r="D33" s="42" t="s">
        <v>51</v>
      </c>
    </row>
    <row r="34" spans="2:4" x14ac:dyDescent="0.45">
      <c r="B34" s="40" t="s">
        <v>23</v>
      </c>
      <c r="C34" s="41" t="s">
        <v>54</v>
      </c>
      <c r="D34" s="42" t="s">
        <v>55</v>
      </c>
    </row>
    <row r="35" spans="2:4" x14ac:dyDescent="0.45">
      <c r="B35" s="40" t="s">
        <v>24</v>
      </c>
      <c r="C35" s="41" t="s">
        <v>53</v>
      </c>
      <c r="D35" s="42" t="s">
        <v>56</v>
      </c>
    </row>
    <row r="36" spans="2:4" ht="18.600000000000001" thickBot="1" x14ac:dyDescent="0.5">
      <c r="B36" s="43" t="s">
        <v>25</v>
      </c>
      <c r="C36" s="35" t="s">
        <v>52</v>
      </c>
      <c r="D36" s="44" t="s">
        <v>57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39EA-4B7C-422D-ADED-E99D70BDB16E}">
  <dimension ref="B8:D34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84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48F2-523F-4487-A7F6-5C889C6507DD}">
  <sheetPr>
    <tabColor rgb="FFFF0000"/>
  </sheetPr>
  <dimension ref="B8:D34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0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>
        <f t="shared" ref="C11:C34" si="0">COS(2*PI()*B11/24)</f>
        <v>0.96592582628906831</v>
      </c>
      <c r="D11" s="7">
        <f t="shared" ref="D11:D34" si="1">SIN(2*PI()*B11/24)</f>
        <v>0.25881904510252074</v>
      </c>
    </row>
    <row r="12" spans="2:4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4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4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4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4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8755-0099-4535-B779-BAD07856979F}">
  <dimension ref="B8:D110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85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x14ac:dyDescent="0.45">
      <c r="B34" s="19">
        <v>24</v>
      </c>
      <c r="C34" s="5"/>
      <c r="D34" s="7"/>
    </row>
    <row r="35" spans="2:4" x14ac:dyDescent="0.45">
      <c r="B35" s="19">
        <v>25</v>
      </c>
      <c r="C35" s="5"/>
      <c r="D35" s="7"/>
    </row>
    <row r="36" spans="2:4" x14ac:dyDescent="0.45">
      <c r="B36" s="19">
        <v>26</v>
      </c>
      <c r="C36" s="5"/>
      <c r="D36" s="7"/>
    </row>
    <row r="37" spans="2:4" x14ac:dyDescent="0.45">
      <c r="B37" s="19">
        <v>27</v>
      </c>
      <c r="C37" s="5"/>
      <c r="D37" s="7"/>
    </row>
    <row r="38" spans="2:4" x14ac:dyDescent="0.45">
      <c r="B38" s="19">
        <v>28</v>
      </c>
      <c r="C38" s="5"/>
      <c r="D38" s="7"/>
    </row>
    <row r="39" spans="2:4" x14ac:dyDescent="0.45">
      <c r="B39" s="19">
        <v>29</v>
      </c>
      <c r="C39" s="5"/>
      <c r="D39" s="7"/>
    </row>
    <row r="40" spans="2:4" x14ac:dyDescent="0.45">
      <c r="B40" s="19">
        <v>30</v>
      </c>
      <c r="C40" s="5"/>
      <c r="D40" s="7"/>
    </row>
    <row r="41" spans="2:4" x14ac:dyDescent="0.45">
      <c r="B41" s="19">
        <v>31</v>
      </c>
      <c r="C41" s="5"/>
      <c r="D41" s="7"/>
    </row>
    <row r="42" spans="2:4" x14ac:dyDescent="0.45">
      <c r="B42" s="19">
        <v>32</v>
      </c>
      <c r="C42" s="5"/>
      <c r="D42" s="7"/>
    </row>
    <row r="43" spans="2:4" x14ac:dyDescent="0.45">
      <c r="B43" s="19">
        <v>33</v>
      </c>
      <c r="C43" s="5"/>
      <c r="D43" s="7"/>
    </row>
    <row r="44" spans="2:4" x14ac:dyDescent="0.45">
      <c r="B44" s="19">
        <v>34</v>
      </c>
      <c r="C44" s="5"/>
      <c r="D44" s="7"/>
    </row>
    <row r="45" spans="2:4" x14ac:dyDescent="0.45">
      <c r="B45" s="19">
        <v>35</v>
      </c>
      <c r="C45" s="5"/>
      <c r="D45" s="7"/>
    </row>
    <row r="46" spans="2:4" x14ac:dyDescent="0.45">
      <c r="B46" s="19">
        <v>36</v>
      </c>
      <c r="C46" s="5"/>
      <c r="D46" s="7"/>
    </row>
    <row r="47" spans="2:4" x14ac:dyDescent="0.45">
      <c r="B47" s="19">
        <v>37</v>
      </c>
      <c r="C47" s="5"/>
      <c r="D47" s="7"/>
    </row>
    <row r="48" spans="2:4" x14ac:dyDescent="0.45">
      <c r="B48" s="19">
        <v>38</v>
      </c>
      <c r="C48" s="5"/>
      <c r="D48" s="7"/>
    </row>
    <row r="49" spans="2:4" x14ac:dyDescent="0.45">
      <c r="B49" s="19">
        <v>39</v>
      </c>
      <c r="C49" s="5"/>
      <c r="D49" s="7"/>
    </row>
    <row r="50" spans="2:4" x14ac:dyDescent="0.45">
      <c r="B50" s="19">
        <v>40</v>
      </c>
      <c r="C50" s="5"/>
      <c r="D50" s="7"/>
    </row>
    <row r="51" spans="2:4" x14ac:dyDescent="0.45">
      <c r="B51" s="19">
        <v>41</v>
      </c>
      <c r="C51" s="5"/>
      <c r="D51" s="7"/>
    </row>
    <row r="52" spans="2:4" x14ac:dyDescent="0.45">
      <c r="B52" s="19">
        <v>42</v>
      </c>
      <c r="C52" s="5"/>
      <c r="D52" s="7"/>
    </row>
    <row r="53" spans="2:4" x14ac:dyDescent="0.45">
      <c r="B53" s="19">
        <v>43</v>
      </c>
      <c r="C53" s="5"/>
      <c r="D53" s="7"/>
    </row>
    <row r="54" spans="2:4" x14ac:dyDescent="0.45">
      <c r="B54" s="19">
        <v>44</v>
      </c>
      <c r="C54" s="5"/>
      <c r="D54" s="7"/>
    </row>
    <row r="55" spans="2:4" x14ac:dyDescent="0.45">
      <c r="B55" s="19">
        <v>45</v>
      </c>
      <c r="C55" s="5"/>
      <c r="D55" s="7"/>
    </row>
    <row r="56" spans="2:4" x14ac:dyDescent="0.45">
      <c r="B56" s="19">
        <v>46</v>
      </c>
      <c r="C56" s="5"/>
      <c r="D56" s="7"/>
    </row>
    <row r="57" spans="2:4" x14ac:dyDescent="0.45">
      <c r="B57" s="19">
        <v>47</v>
      </c>
      <c r="C57" s="5"/>
      <c r="D57" s="7"/>
    </row>
    <row r="58" spans="2:4" x14ac:dyDescent="0.45">
      <c r="B58" s="19">
        <v>48</v>
      </c>
      <c r="C58" s="5"/>
      <c r="D58" s="7"/>
    </row>
    <row r="59" spans="2:4" x14ac:dyDescent="0.45">
      <c r="B59" s="19">
        <v>49</v>
      </c>
      <c r="C59" s="5"/>
      <c r="D59" s="7"/>
    </row>
    <row r="60" spans="2:4" x14ac:dyDescent="0.45">
      <c r="B60" s="19">
        <v>50</v>
      </c>
      <c r="C60" s="5"/>
      <c r="D60" s="7"/>
    </row>
    <row r="61" spans="2:4" x14ac:dyDescent="0.45">
      <c r="B61" s="19">
        <v>51</v>
      </c>
      <c r="C61" s="5"/>
      <c r="D61" s="7"/>
    </row>
    <row r="62" spans="2:4" x14ac:dyDescent="0.45">
      <c r="B62" s="19">
        <v>52</v>
      </c>
      <c r="C62" s="5"/>
      <c r="D62" s="7"/>
    </row>
    <row r="63" spans="2:4" x14ac:dyDescent="0.45">
      <c r="B63" s="19">
        <v>53</v>
      </c>
      <c r="C63" s="5"/>
      <c r="D63" s="7"/>
    </row>
    <row r="64" spans="2:4" x14ac:dyDescent="0.45">
      <c r="B64" s="19">
        <v>54</v>
      </c>
      <c r="C64" s="5"/>
      <c r="D64" s="7"/>
    </row>
    <row r="65" spans="2:4" x14ac:dyDescent="0.45">
      <c r="B65" s="19">
        <v>55</v>
      </c>
      <c r="C65" s="5"/>
      <c r="D65" s="7"/>
    </row>
    <row r="66" spans="2:4" x14ac:dyDescent="0.45">
      <c r="B66" s="19">
        <v>56</v>
      </c>
      <c r="C66" s="5"/>
      <c r="D66" s="7"/>
    </row>
    <row r="67" spans="2:4" x14ac:dyDescent="0.45">
      <c r="B67" s="19">
        <v>57</v>
      </c>
      <c r="C67" s="5"/>
      <c r="D67" s="7"/>
    </row>
    <row r="68" spans="2:4" x14ac:dyDescent="0.45">
      <c r="B68" s="19">
        <v>58</v>
      </c>
      <c r="C68" s="5"/>
      <c r="D68" s="7"/>
    </row>
    <row r="69" spans="2:4" x14ac:dyDescent="0.45">
      <c r="B69" s="19">
        <v>59</v>
      </c>
      <c r="C69" s="5"/>
      <c r="D69" s="7"/>
    </row>
    <row r="70" spans="2:4" x14ac:dyDescent="0.45">
      <c r="B70" s="19">
        <v>60</v>
      </c>
      <c r="C70" s="5"/>
      <c r="D70" s="7"/>
    </row>
    <row r="71" spans="2:4" x14ac:dyDescent="0.45">
      <c r="B71" s="19">
        <v>61</v>
      </c>
      <c r="C71" s="5"/>
      <c r="D71" s="7"/>
    </row>
    <row r="72" spans="2:4" x14ac:dyDescent="0.45">
      <c r="B72" s="19">
        <v>62</v>
      </c>
      <c r="C72" s="5"/>
      <c r="D72" s="7"/>
    </row>
    <row r="73" spans="2:4" x14ac:dyDescent="0.45">
      <c r="B73" s="19">
        <v>63</v>
      </c>
      <c r="C73" s="5"/>
      <c r="D73" s="7"/>
    </row>
    <row r="74" spans="2:4" x14ac:dyDescent="0.45">
      <c r="B74" s="19">
        <v>64</v>
      </c>
      <c r="C74" s="5"/>
      <c r="D74" s="7"/>
    </row>
    <row r="75" spans="2:4" x14ac:dyDescent="0.45">
      <c r="B75" s="19">
        <v>65</v>
      </c>
      <c r="C75" s="5"/>
      <c r="D75" s="7"/>
    </row>
    <row r="76" spans="2:4" x14ac:dyDescent="0.45">
      <c r="B76" s="19">
        <v>66</v>
      </c>
      <c r="C76" s="5"/>
      <c r="D76" s="7"/>
    </row>
    <row r="77" spans="2:4" x14ac:dyDescent="0.45">
      <c r="B77" s="19">
        <v>67</v>
      </c>
      <c r="C77" s="5"/>
      <c r="D77" s="7"/>
    </row>
    <row r="78" spans="2:4" x14ac:dyDescent="0.45">
      <c r="B78" s="19">
        <v>68</v>
      </c>
      <c r="C78" s="5"/>
      <c r="D78" s="7"/>
    </row>
    <row r="79" spans="2:4" x14ac:dyDescent="0.45">
      <c r="B79" s="19">
        <v>69</v>
      </c>
      <c r="C79" s="5"/>
      <c r="D79" s="7"/>
    </row>
    <row r="80" spans="2:4" x14ac:dyDescent="0.45">
      <c r="B80" s="19">
        <v>70</v>
      </c>
      <c r="C80" s="5"/>
      <c r="D80" s="7"/>
    </row>
    <row r="81" spans="2:4" x14ac:dyDescent="0.45">
      <c r="B81" s="19">
        <v>71</v>
      </c>
      <c r="C81" s="5"/>
      <c r="D81" s="7"/>
    </row>
    <row r="82" spans="2:4" x14ac:dyDescent="0.45">
      <c r="B82" s="19">
        <v>72</v>
      </c>
      <c r="C82" s="5"/>
      <c r="D82" s="7"/>
    </row>
    <row r="83" spans="2:4" x14ac:dyDescent="0.45">
      <c r="B83" s="19">
        <v>73</v>
      </c>
      <c r="C83" s="5"/>
      <c r="D83" s="7"/>
    </row>
    <row r="84" spans="2:4" x14ac:dyDescent="0.45">
      <c r="B84" s="19">
        <v>74</v>
      </c>
      <c r="C84" s="5"/>
      <c r="D84" s="7"/>
    </row>
    <row r="85" spans="2:4" x14ac:dyDescent="0.45">
      <c r="B85" s="19">
        <v>75</v>
      </c>
      <c r="C85" s="5"/>
      <c r="D85" s="7"/>
    </row>
    <row r="86" spans="2:4" x14ac:dyDescent="0.45">
      <c r="B86" s="19">
        <v>76</v>
      </c>
      <c r="C86" s="5"/>
      <c r="D86" s="7"/>
    </row>
    <row r="87" spans="2:4" x14ac:dyDescent="0.45">
      <c r="B87" s="19">
        <v>77</v>
      </c>
      <c r="C87" s="5"/>
      <c r="D87" s="7"/>
    </row>
    <row r="88" spans="2:4" x14ac:dyDescent="0.45">
      <c r="B88" s="19">
        <v>78</v>
      </c>
      <c r="C88" s="5"/>
      <c r="D88" s="7"/>
    </row>
    <row r="89" spans="2:4" x14ac:dyDescent="0.45">
      <c r="B89" s="19">
        <v>79</v>
      </c>
      <c r="C89" s="5"/>
      <c r="D89" s="7"/>
    </row>
    <row r="90" spans="2:4" x14ac:dyDescent="0.45">
      <c r="B90" s="19">
        <v>80</v>
      </c>
      <c r="C90" s="5"/>
      <c r="D90" s="7"/>
    </row>
    <row r="91" spans="2:4" x14ac:dyDescent="0.45">
      <c r="B91" s="19">
        <v>81</v>
      </c>
      <c r="C91" s="5"/>
      <c r="D91" s="7"/>
    </row>
    <row r="92" spans="2:4" x14ac:dyDescent="0.45">
      <c r="B92" s="19">
        <v>82</v>
      </c>
      <c r="C92" s="5"/>
      <c r="D92" s="7"/>
    </row>
    <row r="93" spans="2:4" x14ac:dyDescent="0.45">
      <c r="B93" s="19">
        <v>83</v>
      </c>
      <c r="C93" s="5"/>
      <c r="D93" s="7"/>
    </row>
    <row r="94" spans="2:4" x14ac:dyDescent="0.45">
      <c r="B94" s="19">
        <v>84</v>
      </c>
      <c r="C94" s="5"/>
      <c r="D94" s="7"/>
    </row>
    <row r="95" spans="2:4" x14ac:dyDescent="0.45">
      <c r="B95" s="19">
        <v>85</v>
      </c>
      <c r="C95" s="5"/>
      <c r="D95" s="7"/>
    </row>
    <row r="96" spans="2:4" x14ac:dyDescent="0.45">
      <c r="B96" s="19">
        <v>86</v>
      </c>
      <c r="C96" s="5"/>
      <c r="D96" s="7"/>
    </row>
    <row r="97" spans="2:4" x14ac:dyDescent="0.45">
      <c r="B97" s="19">
        <v>87</v>
      </c>
      <c r="C97" s="5"/>
      <c r="D97" s="7"/>
    </row>
    <row r="98" spans="2:4" x14ac:dyDescent="0.45">
      <c r="B98" s="19">
        <v>88</v>
      </c>
      <c r="C98" s="5"/>
      <c r="D98" s="7"/>
    </row>
    <row r="99" spans="2:4" x14ac:dyDescent="0.45">
      <c r="B99" s="19">
        <v>89</v>
      </c>
      <c r="C99" s="5"/>
      <c r="D99" s="7"/>
    </row>
    <row r="100" spans="2:4" x14ac:dyDescent="0.45">
      <c r="B100" s="19">
        <v>90</v>
      </c>
      <c r="C100" s="5"/>
      <c r="D100" s="7"/>
    </row>
    <row r="101" spans="2:4" x14ac:dyDescent="0.45">
      <c r="B101" s="19">
        <v>91</v>
      </c>
      <c r="C101" s="5"/>
      <c r="D101" s="7"/>
    </row>
    <row r="102" spans="2:4" x14ac:dyDescent="0.45">
      <c r="B102" s="19">
        <v>92</v>
      </c>
      <c r="C102" s="5"/>
      <c r="D102" s="7"/>
    </row>
    <row r="103" spans="2:4" x14ac:dyDescent="0.45">
      <c r="B103" s="19">
        <v>93</v>
      </c>
      <c r="C103" s="5"/>
      <c r="D103" s="7"/>
    </row>
    <row r="104" spans="2:4" x14ac:dyDescent="0.45">
      <c r="B104" s="19">
        <v>94</v>
      </c>
      <c r="C104" s="5"/>
      <c r="D104" s="7"/>
    </row>
    <row r="105" spans="2:4" x14ac:dyDescent="0.45">
      <c r="B105" s="19">
        <v>95</v>
      </c>
      <c r="C105" s="5"/>
      <c r="D105" s="7"/>
    </row>
    <row r="106" spans="2:4" x14ac:dyDescent="0.45">
      <c r="B106" s="19">
        <v>96</v>
      </c>
      <c r="C106" s="5"/>
      <c r="D106" s="7"/>
    </row>
    <row r="107" spans="2:4" x14ac:dyDescent="0.45">
      <c r="B107" s="19">
        <v>97</v>
      </c>
      <c r="C107" s="5"/>
      <c r="D107" s="7"/>
    </row>
    <row r="108" spans="2:4" x14ac:dyDescent="0.45">
      <c r="B108" s="19">
        <v>98</v>
      </c>
      <c r="C108" s="5"/>
      <c r="D108" s="7"/>
    </row>
    <row r="109" spans="2:4" x14ac:dyDescent="0.45">
      <c r="B109" s="19">
        <v>99</v>
      </c>
      <c r="C109" s="5"/>
      <c r="D109" s="7"/>
    </row>
    <row r="110" spans="2:4" ht="18.600000000000001" thickBot="1" x14ac:dyDescent="0.5">
      <c r="B110" s="20">
        <v>100</v>
      </c>
      <c r="C110" s="8"/>
      <c r="D110" s="10"/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B991-B10C-4DEB-9F7C-236E2CE2CBCE}">
  <sheetPr>
    <tabColor rgb="FFFF0000"/>
  </sheetPr>
  <dimension ref="B8:D110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85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>
        <f t="shared" ref="C11:C74" si="0">COS(2*PI()*B11/100)</f>
        <v>0.99802672842827156</v>
      </c>
      <c r="D11" s="7">
        <f t="shared" ref="D11:D74" si="1">SIN(2*PI()*B11/100)</f>
        <v>6.2790519529313374E-2</v>
      </c>
    </row>
    <row r="12" spans="2:4" x14ac:dyDescent="0.45">
      <c r="B12" s="19">
        <v>2</v>
      </c>
      <c r="C12" s="5">
        <f t="shared" si="0"/>
        <v>0.99211470131447788</v>
      </c>
      <c r="D12" s="7">
        <f t="shared" si="1"/>
        <v>0.12533323356430426</v>
      </c>
    </row>
    <row r="13" spans="2:4" x14ac:dyDescent="0.45">
      <c r="B13" s="19">
        <v>3</v>
      </c>
      <c r="C13" s="5">
        <f t="shared" si="0"/>
        <v>0.98228725072868872</v>
      </c>
      <c r="D13" s="7">
        <f t="shared" si="1"/>
        <v>0.1873813145857246</v>
      </c>
    </row>
    <row r="14" spans="2:4" x14ac:dyDescent="0.45">
      <c r="B14" s="19">
        <v>4</v>
      </c>
      <c r="C14" s="5">
        <f t="shared" si="0"/>
        <v>0.96858316112863108</v>
      </c>
      <c r="D14" s="7">
        <f t="shared" si="1"/>
        <v>0.24868988716485479</v>
      </c>
    </row>
    <row r="15" spans="2:4" x14ac:dyDescent="0.45">
      <c r="B15" s="19">
        <v>5</v>
      </c>
      <c r="C15" s="5">
        <f t="shared" si="0"/>
        <v>0.95105651629515353</v>
      </c>
      <c r="D15" s="7">
        <f t="shared" si="1"/>
        <v>0.3090169943749474</v>
      </c>
    </row>
    <row r="16" spans="2:4" x14ac:dyDescent="0.45">
      <c r="B16" s="19">
        <v>6</v>
      </c>
      <c r="C16" s="5">
        <f t="shared" si="0"/>
        <v>0.92977648588825146</v>
      </c>
      <c r="D16" s="7">
        <f t="shared" si="1"/>
        <v>0.36812455268467792</v>
      </c>
    </row>
    <row r="17" spans="2:4" x14ac:dyDescent="0.45">
      <c r="B17" s="19">
        <v>7</v>
      </c>
      <c r="C17" s="5">
        <f t="shared" si="0"/>
        <v>0.90482705246601958</v>
      </c>
      <c r="D17" s="7">
        <f t="shared" si="1"/>
        <v>0.42577929156507266</v>
      </c>
    </row>
    <row r="18" spans="2:4" x14ac:dyDescent="0.45">
      <c r="B18" s="19">
        <v>8</v>
      </c>
      <c r="C18" s="5">
        <f t="shared" si="0"/>
        <v>0.87630668004386358</v>
      </c>
      <c r="D18" s="7">
        <f t="shared" si="1"/>
        <v>0.48175367410171532</v>
      </c>
    </row>
    <row r="19" spans="2:4" x14ac:dyDescent="0.45">
      <c r="B19" s="19">
        <v>9</v>
      </c>
      <c r="C19" s="5">
        <f t="shared" si="0"/>
        <v>0.84432792550201508</v>
      </c>
      <c r="D19" s="7">
        <f t="shared" si="1"/>
        <v>0.53582679497899666</v>
      </c>
    </row>
    <row r="20" spans="2:4" x14ac:dyDescent="0.45">
      <c r="B20" s="19">
        <v>10</v>
      </c>
      <c r="C20" s="5">
        <f t="shared" si="0"/>
        <v>0.80901699437494745</v>
      </c>
      <c r="D20" s="7">
        <f t="shared" si="1"/>
        <v>0.58778525229247314</v>
      </c>
    </row>
    <row r="21" spans="2:4" x14ac:dyDescent="0.45">
      <c r="B21" s="19">
        <v>11</v>
      </c>
      <c r="C21" s="5">
        <f t="shared" si="0"/>
        <v>0.77051324277578925</v>
      </c>
      <c r="D21" s="7">
        <f t="shared" si="1"/>
        <v>0.63742398974868963</v>
      </c>
    </row>
    <row r="22" spans="2:4" x14ac:dyDescent="0.45">
      <c r="B22" s="19">
        <v>12</v>
      </c>
      <c r="C22" s="5">
        <f t="shared" si="0"/>
        <v>0.72896862742141155</v>
      </c>
      <c r="D22" s="7">
        <f t="shared" si="1"/>
        <v>0.68454710592868862</v>
      </c>
    </row>
    <row r="23" spans="2:4" x14ac:dyDescent="0.45">
      <c r="B23" s="19">
        <v>13</v>
      </c>
      <c r="C23" s="5">
        <f t="shared" si="0"/>
        <v>0.68454710592868862</v>
      </c>
      <c r="D23" s="7">
        <f t="shared" si="1"/>
        <v>0.72896862742141155</v>
      </c>
    </row>
    <row r="24" spans="2:4" x14ac:dyDescent="0.45">
      <c r="B24" s="19">
        <v>14</v>
      </c>
      <c r="C24" s="5">
        <f t="shared" si="0"/>
        <v>0.63742398974868975</v>
      </c>
      <c r="D24" s="7">
        <f t="shared" si="1"/>
        <v>0.77051324277578925</v>
      </c>
    </row>
    <row r="25" spans="2:4" x14ac:dyDescent="0.45">
      <c r="B25" s="19">
        <v>15</v>
      </c>
      <c r="C25" s="5">
        <f t="shared" si="0"/>
        <v>0.58778525229247325</v>
      </c>
      <c r="D25" s="7">
        <f t="shared" si="1"/>
        <v>0.80901699437494734</v>
      </c>
    </row>
    <row r="26" spans="2:4" x14ac:dyDescent="0.45">
      <c r="B26" s="19">
        <v>16</v>
      </c>
      <c r="C26" s="5">
        <f t="shared" si="0"/>
        <v>0.53582679497899655</v>
      </c>
      <c r="D26" s="7">
        <f t="shared" si="1"/>
        <v>0.84432792550201508</v>
      </c>
    </row>
    <row r="27" spans="2:4" x14ac:dyDescent="0.45">
      <c r="B27" s="19">
        <v>17</v>
      </c>
      <c r="C27" s="5">
        <f t="shared" si="0"/>
        <v>0.48175367410171516</v>
      </c>
      <c r="D27" s="7">
        <f t="shared" si="1"/>
        <v>0.87630668004386369</v>
      </c>
    </row>
    <row r="28" spans="2:4" x14ac:dyDescent="0.45">
      <c r="B28" s="19">
        <v>18</v>
      </c>
      <c r="C28" s="5">
        <f t="shared" si="0"/>
        <v>0.42577929156507266</v>
      </c>
      <c r="D28" s="7">
        <f t="shared" si="1"/>
        <v>0.90482705246601958</v>
      </c>
    </row>
    <row r="29" spans="2:4" x14ac:dyDescent="0.45">
      <c r="B29" s="19">
        <v>19</v>
      </c>
      <c r="C29" s="5">
        <f t="shared" si="0"/>
        <v>0.36812455268467809</v>
      </c>
      <c r="D29" s="7">
        <f t="shared" si="1"/>
        <v>0.92977648588825135</v>
      </c>
    </row>
    <row r="30" spans="2:4" x14ac:dyDescent="0.45">
      <c r="B30" s="19">
        <v>20</v>
      </c>
      <c r="C30" s="5">
        <f t="shared" si="0"/>
        <v>0.30901699437494745</v>
      </c>
      <c r="D30" s="7">
        <f t="shared" si="1"/>
        <v>0.95105651629515353</v>
      </c>
    </row>
    <row r="31" spans="2:4" x14ac:dyDescent="0.45">
      <c r="B31" s="19">
        <v>21</v>
      </c>
      <c r="C31" s="5">
        <f t="shared" si="0"/>
        <v>0.24868988716485474</v>
      </c>
      <c r="D31" s="7">
        <f t="shared" si="1"/>
        <v>0.96858316112863108</v>
      </c>
    </row>
    <row r="32" spans="2:4" x14ac:dyDescent="0.45">
      <c r="B32" s="19">
        <v>22</v>
      </c>
      <c r="C32" s="5">
        <f t="shared" si="0"/>
        <v>0.18738131458572474</v>
      </c>
      <c r="D32" s="7">
        <f t="shared" si="1"/>
        <v>0.98228725072868861</v>
      </c>
    </row>
    <row r="33" spans="2:4" x14ac:dyDescent="0.45">
      <c r="B33" s="19">
        <v>23</v>
      </c>
      <c r="C33" s="5">
        <f t="shared" si="0"/>
        <v>0.12533323356430448</v>
      </c>
      <c r="D33" s="7">
        <f t="shared" si="1"/>
        <v>0.99211470131447776</v>
      </c>
    </row>
    <row r="34" spans="2:4" x14ac:dyDescent="0.45">
      <c r="B34" s="19">
        <v>24</v>
      </c>
      <c r="C34" s="5">
        <f t="shared" si="0"/>
        <v>6.2790519529313527E-2</v>
      </c>
      <c r="D34" s="7">
        <f t="shared" si="1"/>
        <v>0.99802672842827156</v>
      </c>
    </row>
    <row r="35" spans="2:4" x14ac:dyDescent="0.45">
      <c r="B35" s="19">
        <v>25</v>
      </c>
      <c r="C35" s="5">
        <f t="shared" si="0"/>
        <v>6.1257422745431001E-17</v>
      </c>
      <c r="D35" s="7">
        <f t="shared" si="1"/>
        <v>1</v>
      </c>
    </row>
    <row r="36" spans="2:4" x14ac:dyDescent="0.45">
      <c r="B36" s="19">
        <v>26</v>
      </c>
      <c r="C36" s="5">
        <f t="shared" si="0"/>
        <v>-6.2790519529313402E-2</v>
      </c>
      <c r="D36" s="7">
        <f t="shared" si="1"/>
        <v>0.99802672842827156</v>
      </c>
    </row>
    <row r="37" spans="2:4" x14ac:dyDescent="0.45">
      <c r="B37" s="19">
        <v>27</v>
      </c>
      <c r="C37" s="5">
        <f t="shared" si="0"/>
        <v>-0.12533323356430415</v>
      </c>
      <c r="D37" s="7">
        <f t="shared" si="1"/>
        <v>0.99211470131447788</v>
      </c>
    </row>
    <row r="38" spans="2:4" x14ac:dyDescent="0.45">
      <c r="B38" s="19">
        <v>28</v>
      </c>
      <c r="C38" s="5">
        <f t="shared" si="0"/>
        <v>-0.1873813145857246</v>
      </c>
      <c r="D38" s="7">
        <f t="shared" si="1"/>
        <v>0.98228725072868872</v>
      </c>
    </row>
    <row r="39" spans="2:4" x14ac:dyDescent="0.45">
      <c r="B39" s="19">
        <v>29</v>
      </c>
      <c r="C39" s="5">
        <f t="shared" si="0"/>
        <v>-0.24868988716485485</v>
      </c>
      <c r="D39" s="7">
        <f t="shared" si="1"/>
        <v>0.96858316112863108</v>
      </c>
    </row>
    <row r="40" spans="2:4" x14ac:dyDescent="0.45">
      <c r="B40" s="19">
        <v>30</v>
      </c>
      <c r="C40" s="5">
        <f t="shared" si="0"/>
        <v>-0.30901699437494712</v>
      </c>
      <c r="D40" s="7">
        <f t="shared" si="1"/>
        <v>0.95105651629515364</v>
      </c>
    </row>
    <row r="41" spans="2:4" x14ac:dyDescent="0.45">
      <c r="B41" s="19">
        <v>31</v>
      </c>
      <c r="C41" s="5">
        <f t="shared" si="0"/>
        <v>-0.36812455268467775</v>
      </c>
      <c r="D41" s="7">
        <f t="shared" si="1"/>
        <v>0.92977648588825146</v>
      </c>
    </row>
    <row r="42" spans="2:4" x14ac:dyDescent="0.45">
      <c r="B42" s="19">
        <v>32</v>
      </c>
      <c r="C42" s="5">
        <f t="shared" si="0"/>
        <v>-0.42577929156507272</v>
      </c>
      <c r="D42" s="7">
        <f t="shared" si="1"/>
        <v>0.90482705246601947</v>
      </c>
    </row>
    <row r="43" spans="2:4" x14ac:dyDescent="0.45">
      <c r="B43" s="19">
        <v>33</v>
      </c>
      <c r="C43" s="5">
        <f t="shared" si="0"/>
        <v>-0.48175367410171543</v>
      </c>
      <c r="D43" s="7">
        <f t="shared" si="1"/>
        <v>0.87630668004386347</v>
      </c>
    </row>
    <row r="44" spans="2:4" x14ac:dyDescent="0.45">
      <c r="B44" s="19">
        <v>34</v>
      </c>
      <c r="C44" s="5">
        <f t="shared" si="0"/>
        <v>-0.53582679497899688</v>
      </c>
      <c r="D44" s="7">
        <f t="shared" si="1"/>
        <v>0.84432792550201496</v>
      </c>
    </row>
    <row r="45" spans="2:4" x14ac:dyDescent="0.45">
      <c r="B45" s="19">
        <v>35</v>
      </c>
      <c r="C45" s="5">
        <f t="shared" si="0"/>
        <v>-0.58778525229247303</v>
      </c>
      <c r="D45" s="7">
        <f t="shared" si="1"/>
        <v>0.80901699437494745</v>
      </c>
    </row>
    <row r="46" spans="2:4" x14ac:dyDescent="0.45">
      <c r="B46" s="19">
        <v>36</v>
      </c>
      <c r="C46" s="5">
        <f t="shared" si="0"/>
        <v>-0.63742398974868975</v>
      </c>
      <c r="D46" s="7">
        <f t="shared" si="1"/>
        <v>0.77051324277578925</v>
      </c>
    </row>
    <row r="47" spans="2:4" x14ac:dyDescent="0.45">
      <c r="B47" s="19">
        <v>37</v>
      </c>
      <c r="C47" s="5">
        <f t="shared" si="0"/>
        <v>-0.68454710592868873</v>
      </c>
      <c r="D47" s="7">
        <f t="shared" si="1"/>
        <v>0.72896862742141144</v>
      </c>
    </row>
    <row r="48" spans="2:4" x14ac:dyDescent="0.45">
      <c r="B48" s="19">
        <v>38</v>
      </c>
      <c r="C48" s="5">
        <f t="shared" si="0"/>
        <v>-0.72896862742141133</v>
      </c>
      <c r="D48" s="7">
        <f t="shared" si="1"/>
        <v>0.68454710592868884</v>
      </c>
    </row>
    <row r="49" spans="2:4" x14ac:dyDescent="0.45">
      <c r="B49" s="19">
        <v>39</v>
      </c>
      <c r="C49" s="5">
        <f t="shared" si="0"/>
        <v>-0.77051324277578914</v>
      </c>
      <c r="D49" s="7">
        <f t="shared" si="1"/>
        <v>0.63742398974868986</v>
      </c>
    </row>
    <row r="50" spans="2:4" x14ac:dyDescent="0.45">
      <c r="B50" s="19">
        <v>40</v>
      </c>
      <c r="C50" s="5">
        <f t="shared" si="0"/>
        <v>-0.80901699437494734</v>
      </c>
      <c r="D50" s="7">
        <f t="shared" si="1"/>
        <v>0.58778525229247325</v>
      </c>
    </row>
    <row r="51" spans="2:4" x14ac:dyDescent="0.45">
      <c r="B51" s="19">
        <v>41</v>
      </c>
      <c r="C51" s="5">
        <f t="shared" si="0"/>
        <v>-0.84432792550201485</v>
      </c>
      <c r="D51" s="7">
        <f t="shared" si="1"/>
        <v>0.53582679497899699</v>
      </c>
    </row>
    <row r="52" spans="2:4" x14ac:dyDescent="0.45">
      <c r="B52" s="19">
        <v>42</v>
      </c>
      <c r="C52" s="5">
        <f t="shared" si="0"/>
        <v>-0.87630668004386358</v>
      </c>
      <c r="D52" s="7">
        <f t="shared" si="1"/>
        <v>0.48175367410171521</v>
      </c>
    </row>
    <row r="53" spans="2:4" x14ac:dyDescent="0.45">
      <c r="B53" s="19">
        <v>43</v>
      </c>
      <c r="C53" s="5">
        <f t="shared" si="0"/>
        <v>-0.90482705246601935</v>
      </c>
      <c r="D53" s="7">
        <f t="shared" si="1"/>
        <v>0.42577929156507288</v>
      </c>
    </row>
    <row r="54" spans="2:4" x14ac:dyDescent="0.45">
      <c r="B54" s="19">
        <v>44</v>
      </c>
      <c r="C54" s="5">
        <f t="shared" si="0"/>
        <v>-0.92977648588825135</v>
      </c>
      <c r="D54" s="7">
        <f t="shared" si="1"/>
        <v>0.36812455268467814</v>
      </c>
    </row>
    <row r="55" spans="2:4" x14ac:dyDescent="0.45">
      <c r="B55" s="19">
        <v>45</v>
      </c>
      <c r="C55" s="5">
        <f t="shared" si="0"/>
        <v>-0.95105651629515353</v>
      </c>
      <c r="D55" s="7">
        <f t="shared" si="1"/>
        <v>0.30901699437494751</v>
      </c>
    </row>
    <row r="56" spans="2:4" x14ac:dyDescent="0.45">
      <c r="B56" s="19">
        <v>46</v>
      </c>
      <c r="C56" s="5">
        <f t="shared" si="0"/>
        <v>-0.96858316112863097</v>
      </c>
      <c r="D56" s="7">
        <f t="shared" si="1"/>
        <v>0.24868988716485524</v>
      </c>
    </row>
    <row r="57" spans="2:4" x14ac:dyDescent="0.45">
      <c r="B57" s="19">
        <v>47</v>
      </c>
      <c r="C57" s="5">
        <f t="shared" si="0"/>
        <v>-0.98228725072868872</v>
      </c>
      <c r="D57" s="7">
        <f t="shared" si="1"/>
        <v>0.18738131458572457</v>
      </c>
    </row>
    <row r="58" spans="2:4" x14ac:dyDescent="0.45">
      <c r="B58" s="19">
        <v>48</v>
      </c>
      <c r="C58" s="5">
        <f t="shared" si="0"/>
        <v>-0.99211470131447776</v>
      </c>
      <c r="D58" s="7">
        <f t="shared" si="1"/>
        <v>0.12533323356430454</v>
      </c>
    </row>
    <row r="59" spans="2:4" x14ac:dyDescent="0.45">
      <c r="B59" s="19">
        <v>49</v>
      </c>
      <c r="C59" s="5">
        <f t="shared" si="0"/>
        <v>-0.99802672842827156</v>
      </c>
      <c r="D59" s="7">
        <f t="shared" si="1"/>
        <v>6.2790519529313582E-2</v>
      </c>
    </row>
    <row r="60" spans="2:4" x14ac:dyDescent="0.45">
      <c r="B60" s="19">
        <v>50</v>
      </c>
      <c r="C60" s="5">
        <f t="shared" si="0"/>
        <v>-1</v>
      </c>
      <c r="D60" s="7">
        <f t="shared" si="1"/>
        <v>1.22514845490862E-16</v>
      </c>
    </row>
    <row r="61" spans="2:4" x14ac:dyDescent="0.45">
      <c r="B61" s="19">
        <v>51</v>
      </c>
      <c r="C61" s="5">
        <f t="shared" si="0"/>
        <v>-0.99802672842827156</v>
      </c>
      <c r="D61" s="7">
        <f t="shared" si="1"/>
        <v>-6.2790519529313346E-2</v>
      </c>
    </row>
    <row r="62" spans="2:4" x14ac:dyDescent="0.45">
      <c r="B62" s="19">
        <v>52</v>
      </c>
      <c r="C62" s="5">
        <f t="shared" si="0"/>
        <v>-0.99211470131447788</v>
      </c>
      <c r="D62" s="7">
        <f t="shared" si="1"/>
        <v>-0.12533323356430429</v>
      </c>
    </row>
    <row r="63" spans="2:4" x14ac:dyDescent="0.45">
      <c r="B63" s="19">
        <v>53</v>
      </c>
      <c r="C63" s="5">
        <f t="shared" si="0"/>
        <v>-0.98228725072868861</v>
      </c>
      <c r="D63" s="7">
        <f t="shared" si="1"/>
        <v>-0.18738131458572477</v>
      </c>
    </row>
    <row r="64" spans="2:4" x14ac:dyDescent="0.45">
      <c r="B64" s="19">
        <v>54</v>
      </c>
      <c r="C64" s="5">
        <f t="shared" si="0"/>
        <v>-0.96858316112863119</v>
      </c>
      <c r="D64" s="7">
        <f t="shared" si="1"/>
        <v>-0.24868988716485457</v>
      </c>
    </row>
    <row r="65" spans="2:4" x14ac:dyDescent="0.45">
      <c r="B65" s="19">
        <v>55</v>
      </c>
      <c r="C65" s="5">
        <f t="shared" si="0"/>
        <v>-0.95105651629515364</v>
      </c>
      <c r="D65" s="7">
        <f t="shared" si="1"/>
        <v>-0.30901699437494728</v>
      </c>
    </row>
    <row r="66" spans="2:4" x14ac:dyDescent="0.45">
      <c r="B66" s="19">
        <v>56</v>
      </c>
      <c r="C66" s="5">
        <f t="shared" si="0"/>
        <v>-0.92977648588825146</v>
      </c>
      <c r="D66" s="7">
        <f t="shared" si="1"/>
        <v>-0.36812455268467792</v>
      </c>
    </row>
    <row r="67" spans="2:4" x14ac:dyDescent="0.45">
      <c r="B67" s="19">
        <v>57</v>
      </c>
      <c r="C67" s="5">
        <f t="shared" si="0"/>
        <v>-0.90482705246601969</v>
      </c>
      <c r="D67" s="7">
        <f t="shared" si="1"/>
        <v>-0.42577929156507227</v>
      </c>
    </row>
    <row r="68" spans="2:4" x14ac:dyDescent="0.45">
      <c r="B68" s="19">
        <v>58</v>
      </c>
      <c r="C68" s="5">
        <f t="shared" si="0"/>
        <v>-0.87630668004386347</v>
      </c>
      <c r="D68" s="7">
        <f t="shared" si="1"/>
        <v>-0.48175367410171538</v>
      </c>
    </row>
    <row r="69" spans="2:4" x14ac:dyDescent="0.45">
      <c r="B69" s="19">
        <v>59</v>
      </c>
      <c r="C69" s="5">
        <f t="shared" si="0"/>
        <v>-0.84432792550201519</v>
      </c>
      <c r="D69" s="7">
        <f t="shared" si="1"/>
        <v>-0.53582679497899643</v>
      </c>
    </row>
    <row r="70" spans="2:4" x14ac:dyDescent="0.45">
      <c r="B70" s="19">
        <v>60</v>
      </c>
      <c r="C70" s="5">
        <f t="shared" si="0"/>
        <v>-0.80901699437494778</v>
      </c>
      <c r="D70" s="7">
        <f t="shared" si="1"/>
        <v>-0.58778525229247269</v>
      </c>
    </row>
    <row r="71" spans="2:4" x14ac:dyDescent="0.45">
      <c r="B71" s="19">
        <v>61</v>
      </c>
      <c r="C71" s="5">
        <f t="shared" si="0"/>
        <v>-0.77051324277578925</v>
      </c>
      <c r="D71" s="7">
        <f t="shared" si="1"/>
        <v>-0.63742398974868963</v>
      </c>
    </row>
    <row r="72" spans="2:4" x14ac:dyDescent="0.45">
      <c r="B72" s="19">
        <v>62</v>
      </c>
      <c r="C72" s="5">
        <f t="shared" si="0"/>
        <v>-0.72896862742141177</v>
      </c>
      <c r="D72" s="7">
        <f t="shared" si="1"/>
        <v>-0.68454710592868839</v>
      </c>
    </row>
    <row r="73" spans="2:4" x14ac:dyDescent="0.45">
      <c r="B73" s="19">
        <v>63</v>
      </c>
      <c r="C73" s="5">
        <f t="shared" si="0"/>
        <v>-0.68454710592868862</v>
      </c>
      <c r="D73" s="7">
        <f t="shared" si="1"/>
        <v>-0.72896862742141155</v>
      </c>
    </row>
    <row r="74" spans="2:4" x14ac:dyDescent="0.45">
      <c r="B74" s="19">
        <v>64</v>
      </c>
      <c r="C74" s="5">
        <f t="shared" si="0"/>
        <v>-0.63742398974868952</v>
      </c>
      <c r="D74" s="7">
        <f t="shared" si="1"/>
        <v>-0.77051324277578936</v>
      </c>
    </row>
    <row r="75" spans="2:4" x14ac:dyDescent="0.45">
      <c r="B75" s="19">
        <v>65</v>
      </c>
      <c r="C75" s="5">
        <f t="shared" ref="C75:C110" si="2">COS(2*PI()*B75/100)</f>
        <v>-0.58778525229247325</v>
      </c>
      <c r="D75" s="7">
        <f t="shared" ref="D75:D110" si="3">SIN(2*PI()*B75/100)</f>
        <v>-0.80901699437494734</v>
      </c>
    </row>
    <row r="76" spans="2:4" x14ac:dyDescent="0.45">
      <c r="B76" s="19">
        <v>66</v>
      </c>
      <c r="C76" s="5">
        <f t="shared" si="2"/>
        <v>-0.53582679497899632</v>
      </c>
      <c r="D76" s="7">
        <f t="shared" si="3"/>
        <v>-0.8443279255020153</v>
      </c>
    </row>
    <row r="77" spans="2:4" x14ac:dyDescent="0.45">
      <c r="B77" s="19">
        <v>67</v>
      </c>
      <c r="C77" s="5">
        <f t="shared" si="2"/>
        <v>-0.48175367410171527</v>
      </c>
      <c r="D77" s="7">
        <f t="shared" si="3"/>
        <v>-0.87630668004386358</v>
      </c>
    </row>
    <row r="78" spans="2:4" x14ac:dyDescent="0.45">
      <c r="B78" s="19">
        <v>68</v>
      </c>
      <c r="C78" s="5">
        <f t="shared" si="2"/>
        <v>-0.42577929156507216</v>
      </c>
      <c r="D78" s="7">
        <f t="shared" si="3"/>
        <v>-0.9048270524660198</v>
      </c>
    </row>
    <row r="79" spans="2:4" x14ac:dyDescent="0.45">
      <c r="B79" s="19">
        <v>69</v>
      </c>
      <c r="C79" s="5">
        <f t="shared" si="2"/>
        <v>-0.36812455268467781</v>
      </c>
      <c r="D79" s="7">
        <f t="shared" si="3"/>
        <v>-0.92977648588825146</v>
      </c>
    </row>
    <row r="80" spans="2:4" x14ac:dyDescent="0.45">
      <c r="B80" s="19">
        <v>70</v>
      </c>
      <c r="C80" s="5">
        <f t="shared" si="2"/>
        <v>-0.30901699437494756</v>
      </c>
      <c r="D80" s="7">
        <f t="shared" si="3"/>
        <v>-0.95105651629515353</v>
      </c>
    </row>
    <row r="81" spans="2:4" x14ac:dyDescent="0.45">
      <c r="B81" s="19">
        <v>71</v>
      </c>
      <c r="C81" s="5">
        <f t="shared" si="2"/>
        <v>-0.24868988716485443</v>
      </c>
      <c r="D81" s="7">
        <f t="shared" si="3"/>
        <v>-0.96858316112863119</v>
      </c>
    </row>
    <row r="82" spans="2:4" x14ac:dyDescent="0.45">
      <c r="B82" s="19">
        <v>72</v>
      </c>
      <c r="C82" s="5">
        <f t="shared" si="2"/>
        <v>-0.18738131458572463</v>
      </c>
      <c r="D82" s="7">
        <f t="shared" si="3"/>
        <v>-0.98228725072868872</v>
      </c>
    </row>
    <row r="83" spans="2:4" x14ac:dyDescent="0.45">
      <c r="B83" s="19">
        <v>73</v>
      </c>
      <c r="C83" s="5">
        <f t="shared" si="2"/>
        <v>-0.12533323356430459</v>
      </c>
      <c r="D83" s="7">
        <f t="shared" si="3"/>
        <v>-0.99211470131447776</v>
      </c>
    </row>
    <row r="84" spans="2:4" x14ac:dyDescent="0.45">
      <c r="B84" s="19">
        <v>74</v>
      </c>
      <c r="C84" s="5">
        <f t="shared" si="2"/>
        <v>-6.2790519529313207E-2</v>
      </c>
      <c r="D84" s="7">
        <f t="shared" si="3"/>
        <v>-0.99802672842827156</v>
      </c>
    </row>
    <row r="85" spans="2:4" x14ac:dyDescent="0.45">
      <c r="B85" s="19">
        <v>75</v>
      </c>
      <c r="C85" s="5">
        <f t="shared" si="2"/>
        <v>-1.83772268236293E-16</v>
      </c>
      <c r="D85" s="7">
        <f t="shared" si="3"/>
        <v>-1</v>
      </c>
    </row>
    <row r="86" spans="2:4" x14ac:dyDescent="0.45">
      <c r="B86" s="19">
        <v>76</v>
      </c>
      <c r="C86" s="5">
        <f t="shared" si="2"/>
        <v>6.2790519529312833E-2</v>
      </c>
      <c r="D86" s="7">
        <f t="shared" si="3"/>
        <v>-0.99802672842827156</v>
      </c>
    </row>
    <row r="87" spans="2:4" x14ac:dyDescent="0.45">
      <c r="B87" s="19">
        <v>77</v>
      </c>
      <c r="C87" s="5">
        <f t="shared" si="2"/>
        <v>0.12533323356430423</v>
      </c>
      <c r="D87" s="7">
        <f t="shared" si="3"/>
        <v>-0.99211470131447788</v>
      </c>
    </row>
    <row r="88" spans="2:4" x14ac:dyDescent="0.45">
      <c r="B88" s="19">
        <v>78</v>
      </c>
      <c r="C88" s="5">
        <f t="shared" si="2"/>
        <v>0.18738131458572427</v>
      </c>
      <c r="D88" s="7">
        <f t="shared" si="3"/>
        <v>-0.98228725072868872</v>
      </c>
    </row>
    <row r="89" spans="2:4" x14ac:dyDescent="0.45">
      <c r="B89" s="19">
        <v>79</v>
      </c>
      <c r="C89" s="5">
        <f t="shared" si="2"/>
        <v>0.24868988716485493</v>
      </c>
      <c r="D89" s="7">
        <f t="shared" si="3"/>
        <v>-0.96858316112863108</v>
      </c>
    </row>
    <row r="90" spans="2:4" x14ac:dyDescent="0.45">
      <c r="B90" s="19">
        <v>80</v>
      </c>
      <c r="C90" s="5">
        <f t="shared" si="2"/>
        <v>0.30901699437494723</v>
      </c>
      <c r="D90" s="7">
        <f t="shared" si="3"/>
        <v>-0.95105651629515364</v>
      </c>
    </row>
    <row r="91" spans="2:4" x14ac:dyDescent="0.45">
      <c r="B91" s="19">
        <v>81</v>
      </c>
      <c r="C91" s="5">
        <f t="shared" si="2"/>
        <v>0.36812455268467742</v>
      </c>
      <c r="D91" s="7">
        <f t="shared" si="3"/>
        <v>-0.92977648588825157</v>
      </c>
    </row>
    <row r="92" spans="2:4" x14ac:dyDescent="0.45">
      <c r="B92" s="19">
        <v>82</v>
      </c>
      <c r="C92" s="5">
        <f t="shared" si="2"/>
        <v>0.42577929156507183</v>
      </c>
      <c r="D92" s="7">
        <f t="shared" si="3"/>
        <v>-0.90482705246601991</v>
      </c>
    </row>
    <row r="93" spans="2:4" x14ac:dyDescent="0.45">
      <c r="B93" s="19">
        <v>83</v>
      </c>
      <c r="C93" s="5">
        <f t="shared" si="2"/>
        <v>0.48175367410171571</v>
      </c>
      <c r="D93" s="7">
        <f t="shared" si="3"/>
        <v>-0.87630668004386336</v>
      </c>
    </row>
    <row r="94" spans="2:4" x14ac:dyDescent="0.45">
      <c r="B94" s="19">
        <v>84</v>
      </c>
      <c r="C94" s="5">
        <f t="shared" si="2"/>
        <v>0.53582679497899677</v>
      </c>
      <c r="D94" s="7">
        <f t="shared" si="3"/>
        <v>-0.84432792550201496</v>
      </c>
    </row>
    <row r="95" spans="2:4" x14ac:dyDescent="0.45">
      <c r="B95" s="19">
        <v>85</v>
      </c>
      <c r="C95" s="5">
        <f t="shared" si="2"/>
        <v>0.58778525229247292</v>
      </c>
      <c r="D95" s="7">
        <f t="shared" si="3"/>
        <v>-0.80901699437494756</v>
      </c>
    </row>
    <row r="96" spans="2:4" x14ac:dyDescent="0.45">
      <c r="B96" s="19">
        <v>86</v>
      </c>
      <c r="C96" s="5">
        <f t="shared" si="2"/>
        <v>0.6374239897486893</v>
      </c>
      <c r="D96" s="7">
        <f t="shared" si="3"/>
        <v>-0.77051324277578959</v>
      </c>
    </row>
    <row r="97" spans="2:4" x14ac:dyDescent="0.45">
      <c r="B97" s="19">
        <v>87</v>
      </c>
      <c r="C97" s="5">
        <f t="shared" si="2"/>
        <v>0.68454710592868795</v>
      </c>
      <c r="D97" s="7">
        <f t="shared" si="3"/>
        <v>-0.72896862742141211</v>
      </c>
    </row>
    <row r="98" spans="2:4" x14ac:dyDescent="0.45">
      <c r="B98" s="19">
        <v>88</v>
      </c>
      <c r="C98" s="5">
        <f t="shared" si="2"/>
        <v>0.72896862742141122</v>
      </c>
      <c r="D98" s="7">
        <f t="shared" si="3"/>
        <v>-0.68454710592868895</v>
      </c>
    </row>
    <row r="99" spans="2:4" x14ac:dyDescent="0.45">
      <c r="B99" s="19">
        <v>89</v>
      </c>
      <c r="C99" s="5">
        <f t="shared" si="2"/>
        <v>0.77051324277578936</v>
      </c>
      <c r="D99" s="7">
        <f t="shared" si="3"/>
        <v>-0.63742398974868963</v>
      </c>
    </row>
    <row r="100" spans="2:4" x14ac:dyDescent="0.45">
      <c r="B100" s="19">
        <v>90</v>
      </c>
      <c r="C100" s="5">
        <f t="shared" si="2"/>
        <v>0.80901699437494734</v>
      </c>
      <c r="D100" s="7">
        <f t="shared" si="3"/>
        <v>-0.58778525229247336</v>
      </c>
    </row>
    <row r="101" spans="2:4" x14ac:dyDescent="0.45">
      <c r="B101" s="19">
        <v>91</v>
      </c>
      <c r="C101" s="5">
        <f t="shared" si="2"/>
        <v>0.84432792550201474</v>
      </c>
      <c r="D101" s="7">
        <f t="shared" si="3"/>
        <v>-0.5358267949789971</v>
      </c>
    </row>
    <row r="102" spans="2:4" x14ac:dyDescent="0.45">
      <c r="B102" s="19">
        <v>92</v>
      </c>
      <c r="C102" s="5">
        <f t="shared" si="2"/>
        <v>0.87630668004386314</v>
      </c>
      <c r="D102" s="7">
        <f t="shared" si="3"/>
        <v>-0.4817536741017161</v>
      </c>
    </row>
    <row r="103" spans="2:4" x14ac:dyDescent="0.45">
      <c r="B103" s="19">
        <v>93</v>
      </c>
      <c r="C103" s="5">
        <f t="shared" si="2"/>
        <v>0.90482705246601935</v>
      </c>
      <c r="D103" s="7">
        <f t="shared" si="3"/>
        <v>-0.42577929156507299</v>
      </c>
    </row>
    <row r="104" spans="2:4" x14ac:dyDescent="0.45">
      <c r="B104" s="19">
        <v>94</v>
      </c>
      <c r="C104" s="5">
        <f t="shared" si="2"/>
        <v>0.92977648588825146</v>
      </c>
      <c r="D104" s="7">
        <f t="shared" si="3"/>
        <v>-0.36812455268467786</v>
      </c>
    </row>
    <row r="105" spans="2:4" x14ac:dyDescent="0.45">
      <c r="B105" s="19">
        <v>95</v>
      </c>
      <c r="C105" s="5">
        <f t="shared" si="2"/>
        <v>0.95105651629515353</v>
      </c>
      <c r="D105" s="7">
        <f t="shared" si="3"/>
        <v>-0.30901699437494762</v>
      </c>
    </row>
    <row r="106" spans="2:4" x14ac:dyDescent="0.45">
      <c r="B106" s="19">
        <v>96</v>
      </c>
      <c r="C106" s="5">
        <f t="shared" si="2"/>
        <v>0.96858316112863097</v>
      </c>
      <c r="D106" s="7">
        <f t="shared" si="3"/>
        <v>-0.24868988716485535</v>
      </c>
    </row>
    <row r="107" spans="2:4" x14ac:dyDescent="0.45">
      <c r="B107" s="19">
        <v>97</v>
      </c>
      <c r="C107" s="5">
        <f t="shared" si="2"/>
        <v>0.98228725072868872</v>
      </c>
      <c r="D107" s="7">
        <f t="shared" si="3"/>
        <v>-0.18738131458572468</v>
      </c>
    </row>
    <row r="108" spans="2:4" x14ac:dyDescent="0.45">
      <c r="B108" s="19">
        <v>98</v>
      </c>
      <c r="C108" s="5">
        <f t="shared" si="2"/>
        <v>0.99211470131447776</v>
      </c>
      <c r="D108" s="7">
        <f t="shared" si="3"/>
        <v>-0.12533323356430465</v>
      </c>
    </row>
    <row r="109" spans="2:4" x14ac:dyDescent="0.45">
      <c r="B109" s="19">
        <v>99</v>
      </c>
      <c r="C109" s="5">
        <f t="shared" si="2"/>
        <v>0.99802672842827156</v>
      </c>
      <c r="D109" s="7">
        <f t="shared" si="3"/>
        <v>-6.2790519529313263E-2</v>
      </c>
    </row>
    <row r="110" spans="2:4" ht="18.600000000000001" thickBot="1" x14ac:dyDescent="0.5">
      <c r="B110" s="20">
        <v>100</v>
      </c>
      <c r="C110" s="8">
        <f t="shared" si="2"/>
        <v>1</v>
      </c>
      <c r="D110" s="10">
        <f t="shared" si="3"/>
        <v>-2.45029690981724E-16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F796-1789-4701-A8FA-09B63D344EEF}">
  <dimension ref="B8:E110"/>
  <sheetViews>
    <sheetView zoomScale="80" zoomScaleNormal="80" workbookViewId="0">
      <selection activeCell="B9" sqref="B9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 t="s">
        <v>85</v>
      </c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/>
      <c r="D11" s="7"/>
    </row>
    <row r="12" spans="2:5" x14ac:dyDescent="0.45">
      <c r="B12" s="19">
        <v>2</v>
      </c>
      <c r="C12" s="5"/>
      <c r="D12" s="7"/>
    </row>
    <row r="13" spans="2:5" x14ac:dyDescent="0.45">
      <c r="B13" s="19">
        <v>3</v>
      </c>
      <c r="C13" s="5"/>
      <c r="D13" s="7"/>
    </row>
    <row r="14" spans="2:5" x14ac:dyDescent="0.45">
      <c r="B14" s="19">
        <v>4</v>
      </c>
      <c r="C14" s="5"/>
      <c r="D14" s="7"/>
    </row>
    <row r="15" spans="2:5" x14ac:dyDescent="0.45">
      <c r="B15" s="19">
        <v>5</v>
      </c>
      <c r="C15" s="5"/>
      <c r="D15" s="7"/>
    </row>
    <row r="16" spans="2:5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1664-5F47-4455-B6F8-3D049221737B}">
  <sheetPr>
    <tabColor rgb="FFFF0000"/>
  </sheetPr>
  <dimension ref="B8:E110"/>
  <sheetViews>
    <sheetView zoomScale="80" zoomScaleNormal="80" workbookViewId="0">
      <selection activeCell="B9" sqref="B9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 t="s">
        <v>85</v>
      </c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>
        <f t="shared" ref="C11:C34" si="0">COS(2*PI()*B11*$E$10/24)</f>
        <v>0.96592582628906831</v>
      </c>
      <c r="D11" s="7">
        <f t="shared" ref="D11:D34" si="1">SIN(2*PI()*B11*$E$10/24)</f>
        <v>0.25881904510252074</v>
      </c>
    </row>
    <row r="12" spans="2:5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5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5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5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5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3BB1-57D2-4DCB-A55B-CD26C3546670}">
  <dimension ref="B3:U69"/>
  <sheetViews>
    <sheetView zoomScale="66" zoomScaleNormal="66" workbookViewId="0">
      <selection activeCell="B4" sqref="B4"/>
    </sheetView>
  </sheetViews>
  <sheetFormatPr defaultRowHeight="18" x14ac:dyDescent="0.45"/>
  <sheetData>
    <row r="3" spans="2:14" ht="18.600000000000001" thickBot="1" x14ac:dyDescent="0.5"/>
    <row r="4" spans="2:14" ht="18.600000000000001" thickBot="1" x14ac:dyDescent="0.5">
      <c r="B4" s="15" t="s">
        <v>0</v>
      </c>
      <c r="C4" s="46" t="s">
        <v>72</v>
      </c>
      <c r="D4" s="47" t="s">
        <v>73</v>
      </c>
      <c r="E4" s="45" t="s">
        <v>74</v>
      </c>
      <c r="F4" s="25" t="s">
        <v>75</v>
      </c>
      <c r="G4" s="26" t="s">
        <v>76</v>
      </c>
      <c r="H4" s="26" t="s">
        <v>77</v>
      </c>
      <c r="I4" s="13" t="s">
        <v>78</v>
      </c>
      <c r="J4" s="13" t="s">
        <v>79</v>
      </c>
      <c r="K4" s="27" t="s">
        <v>80</v>
      </c>
      <c r="L4" s="27" t="s">
        <v>81</v>
      </c>
      <c r="M4" s="28" t="s">
        <v>82</v>
      </c>
      <c r="N4" s="28" t="s">
        <v>83</v>
      </c>
    </row>
    <row r="5" spans="2:14" x14ac:dyDescent="0.45">
      <c r="B5" s="19">
        <v>0</v>
      </c>
      <c r="C5" s="48">
        <f>SIN(2*PI()*B5/64)</f>
        <v>0</v>
      </c>
      <c r="D5" s="49">
        <f>COS(2*PI()*B5/64)</f>
        <v>1</v>
      </c>
      <c r="E5" s="5">
        <f t="shared" ref="E5:E36" si="0">SIN(2*PI()*B5*$Q$22/64)</f>
        <v>0</v>
      </c>
      <c r="F5" s="7">
        <f t="shared" ref="F5:F36" si="1">COS(2*PI()*B5*$Q$22/64)</f>
        <v>1</v>
      </c>
      <c r="G5" s="7">
        <f t="shared" ref="G5:G36" si="2">SIN(2*PI()*B5*$R$22/64)</f>
        <v>0</v>
      </c>
      <c r="H5" s="7">
        <f t="shared" ref="H5:H36" si="3">COS(2*PI()*B5*$R$22/64)</f>
        <v>1</v>
      </c>
      <c r="I5" s="7">
        <f t="shared" ref="I5:I36" si="4">SIN(2*PI()*B5*$S$22/64)</f>
        <v>0</v>
      </c>
      <c r="J5" s="7">
        <f t="shared" ref="J5:J36" si="5">COS(2*PI()*B5*$S$22/64)</f>
        <v>1</v>
      </c>
      <c r="K5" s="7">
        <f t="shared" ref="K5:K36" si="6">SIN(2*PI()*B5*$T$22/64)</f>
        <v>0</v>
      </c>
      <c r="L5" s="7">
        <f t="shared" ref="L5:L36" si="7">COS(2*PI()*B5*$T$22/64)</f>
        <v>1</v>
      </c>
      <c r="M5" s="7">
        <f t="shared" ref="M5:M36" si="8">SIN(2*PI()*B5*$U$22/64)</f>
        <v>0</v>
      </c>
      <c r="N5" s="7">
        <f t="shared" ref="N5:N36" si="9">COS(2*PI()*B5*$U$22/64)</f>
        <v>1</v>
      </c>
    </row>
    <row r="6" spans="2:14" x14ac:dyDescent="0.45">
      <c r="B6" s="19">
        <v>1</v>
      </c>
      <c r="C6" s="48">
        <f t="shared" ref="C6:C69" si="10">SIN(2*PI()*B6/64)</f>
        <v>9.8017140329560604E-2</v>
      </c>
      <c r="D6" s="49">
        <f t="shared" ref="D6:D69" si="11">COS(2*PI()*B6/64)</f>
        <v>0.99518472667219693</v>
      </c>
      <c r="E6" s="5">
        <f t="shared" si="0"/>
        <v>9.8017140329560604E-2</v>
      </c>
      <c r="F6" s="7">
        <f t="shared" si="1"/>
        <v>0.99518472667219693</v>
      </c>
      <c r="G6" s="7">
        <f t="shared" si="2"/>
        <v>9.8017140329560604E-2</v>
      </c>
      <c r="H6" s="7">
        <f t="shared" si="3"/>
        <v>0.99518472667219693</v>
      </c>
      <c r="I6" s="7">
        <f t="shared" si="4"/>
        <v>9.8017140329560604E-2</v>
      </c>
      <c r="J6" s="7">
        <f t="shared" si="5"/>
        <v>0.99518472667219693</v>
      </c>
      <c r="K6" s="7">
        <f t="shared" si="6"/>
        <v>9.8017140329560604E-2</v>
      </c>
      <c r="L6" s="7">
        <f t="shared" si="7"/>
        <v>0.99518472667219693</v>
      </c>
      <c r="M6" s="7">
        <f t="shared" si="8"/>
        <v>9.8017140329560604E-2</v>
      </c>
      <c r="N6" s="7">
        <f t="shared" si="9"/>
        <v>0.99518472667219693</v>
      </c>
    </row>
    <row r="7" spans="2:14" x14ac:dyDescent="0.45">
      <c r="B7" s="19">
        <v>2</v>
      </c>
      <c r="C7" s="48">
        <f t="shared" si="10"/>
        <v>0.19509032201612825</v>
      </c>
      <c r="D7" s="49">
        <f t="shared" si="11"/>
        <v>0.98078528040323043</v>
      </c>
      <c r="E7" s="5">
        <f t="shared" si="0"/>
        <v>0.19509032201612825</v>
      </c>
      <c r="F7" s="7">
        <f t="shared" si="1"/>
        <v>0.98078528040323043</v>
      </c>
      <c r="G7" s="7">
        <f t="shared" si="2"/>
        <v>0.19509032201612825</v>
      </c>
      <c r="H7" s="7">
        <f t="shared" si="3"/>
        <v>0.98078528040323043</v>
      </c>
      <c r="I7" s="7">
        <f t="shared" si="4"/>
        <v>0.19509032201612825</v>
      </c>
      <c r="J7" s="7">
        <f t="shared" si="5"/>
        <v>0.98078528040323043</v>
      </c>
      <c r="K7" s="7">
        <f t="shared" si="6"/>
        <v>0.19509032201612825</v>
      </c>
      <c r="L7" s="7">
        <f t="shared" si="7"/>
        <v>0.98078528040323043</v>
      </c>
      <c r="M7" s="7">
        <f t="shared" si="8"/>
        <v>0.19509032201612825</v>
      </c>
      <c r="N7" s="7">
        <f t="shared" si="9"/>
        <v>0.98078528040323043</v>
      </c>
    </row>
    <row r="8" spans="2:14" x14ac:dyDescent="0.45">
      <c r="B8" s="19">
        <v>3</v>
      </c>
      <c r="C8" s="48">
        <f t="shared" si="10"/>
        <v>0.29028467725446233</v>
      </c>
      <c r="D8" s="49">
        <f t="shared" si="11"/>
        <v>0.95694033573220882</v>
      </c>
      <c r="E8" s="5">
        <f t="shared" si="0"/>
        <v>0.29028467725446233</v>
      </c>
      <c r="F8" s="7">
        <f t="shared" si="1"/>
        <v>0.95694033573220882</v>
      </c>
      <c r="G8" s="7">
        <f t="shared" si="2"/>
        <v>0.29028467725446233</v>
      </c>
      <c r="H8" s="7">
        <f t="shared" si="3"/>
        <v>0.95694033573220882</v>
      </c>
      <c r="I8" s="7">
        <f t="shared" si="4"/>
        <v>0.29028467725446233</v>
      </c>
      <c r="J8" s="7">
        <f t="shared" si="5"/>
        <v>0.95694033573220882</v>
      </c>
      <c r="K8" s="7">
        <f t="shared" si="6"/>
        <v>0.29028467725446233</v>
      </c>
      <c r="L8" s="7">
        <f t="shared" si="7"/>
        <v>0.95694033573220882</v>
      </c>
      <c r="M8" s="7">
        <f t="shared" si="8"/>
        <v>0.29028467725446233</v>
      </c>
      <c r="N8" s="7">
        <f t="shared" si="9"/>
        <v>0.95694033573220882</v>
      </c>
    </row>
    <row r="9" spans="2:14" x14ac:dyDescent="0.45">
      <c r="B9" s="19">
        <v>4</v>
      </c>
      <c r="C9" s="48">
        <f t="shared" si="10"/>
        <v>0.38268343236508978</v>
      </c>
      <c r="D9" s="49">
        <f t="shared" si="11"/>
        <v>0.92387953251128674</v>
      </c>
      <c r="E9" s="5">
        <f t="shared" si="0"/>
        <v>0.38268343236508978</v>
      </c>
      <c r="F9" s="7">
        <f t="shared" si="1"/>
        <v>0.92387953251128674</v>
      </c>
      <c r="G9" s="7">
        <f t="shared" si="2"/>
        <v>0.38268343236508978</v>
      </c>
      <c r="H9" s="7">
        <f t="shared" si="3"/>
        <v>0.92387953251128674</v>
      </c>
      <c r="I9" s="7">
        <f t="shared" si="4"/>
        <v>0.38268343236508978</v>
      </c>
      <c r="J9" s="7">
        <f t="shared" si="5"/>
        <v>0.92387953251128674</v>
      </c>
      <c r="K9" s="7">
        <f t="shared" si="6"/>
        <v>0.38268343236508978</v>
      </c>
      <c r="L9" s="7">
        <f t="shared" si="7"/>
        <v>0.92387953251128674</v>
      </c>
      <c r="M9" s="7">
        <f t="shared" si="8"/>
        <v>0.38268343236508978</v>
      </c>
      <c r="N9" s="7">
        <f t="shared" si="9"/>
        <v>0.92387953251128674</v>
      </c>
    </row>
    <row r="10" spans="2:14" x14ac:dyDescent="0.45">
      <c r="B10" s="19">
        <v>5</v>
      </c>
      <c r="C10" s="48">
        <f t="shared" si="10"/>
        <v>0.47139673682599764</v>
      </c>
      <c r="D10" s="49">
        <f t="shared" si="11"/>
        <v>0.88192126434835505</v>
      </c>
      <c r="E10" s="5">
        <f t="shared" si="0"/>
        <v>0.47139673682599764</v>
      </c>
      <c r="F10" s="7">
        <f t="shared" si="1"/>
        <v>0.88192126434835505</v>
      </c>
      <c r="G10" s="7">
        <f t="shared" si="2"/>
        <v>0.47139673682599764</v>
      </c>
      <c r="H10" s="7">
        <f t="shared" si="3"/>
        <v>0.88192126434835505</v>
      </c>
      <c r="I10" s="7">
        <f t="shared" si="4"/>
        <v>0.47139673682599764</v>
      </c>
      <c r="J10" s="7">
        <f t="shared" si="5"/>
        <v>0.88192126434835505</v>
      </c>
      <c r="K10" s="7">
        <f t="shared" si="6"/>
        <v>0.47139673682599764</v>
      </c>
      <c r="L10" s="7">
        <f t="shared" si="7"/>
        <v>0.88192126434835505</v>
      </c>
      <c r="M10" s="7">
        <f t="shared" si="8"/>
        <v>0.47139673682599764</v>
      </c>
      <c r="N10" s="7">
        <f t="shared" si="9"/>
        <v>0.88192126434835505</v>
      </c>
    </row>
    <row r="11" spans="2:14" x14ac:dyDescent="0.45">
      <c r="B11" s="19">
        <v>6</v>
      </c>
      <c r="C11" s="48">
        <f t="shared" si="10"/>
        <v>0.55557023301960218</v>
      </c>
      <c r="D11" s="49">
        <f t="shared" si="11"/>
        <v>0.83146961230254524</v>
      </c>
      <c r="E11" s="5">
        <f t="shared" si="0"/>
        <v>0.55557023301960218</v>
      </c>
      <c r="F11" s="7">
        <f t="shared" si="1"/>
        <v>0.83146961230254524</v>
      </c>
      <c r="G11" s="7">
        <f t="shared" si="2"/>
        <v>0.55557023301960218</v>
      </c>
      <c r="H11" s="7">
        <f t="shared" si="3"/>
        <v>0.83146961230254524</v>
      </c>
      <c r="I11" s="7">
        <f t="shared" si="4"/>
        <v>0.55557023301960218</v>
      </c>
      <c r="J11" s="7">
        <f t="shared" si="5"/>
        <v>0.83146961230254524</v>
      </c>
      <c r="K11" s="7">
        <f t="shared" si="6"/>
        <v>0.55557023301960218</v>
      </c>
      <c r="L11" s="7">
        <f t="shared" si="7"/>
        <v>0.83146961230254524</v>
      </c>
      <c r="M11" s="7">
        <f t="shared" si="8"/>
        <v>0.55557023301960218</v>
      </c>
      <c r="N11" s="7">
        <f t="shared" si="9"/>
        <v>0.83146961230254524</v>
      </c>
    </row>
    <row r="12" spans="2:14" x14ac:dyDescent="0.45">
      <c r="B12" s="19">
        <v>7</v>
      </c>
      <c r="C12" s="48">
        <f t="shared" si="10"/>
        <v>0.63439328416364549</v>
      </c>
      <c r="D12" s="49">
        <f t="shared" si="11"/>
        <v>0.77301045336273699</v>
      </c>
      <c r="E12" s="5">
        <f t="shared" si="0"/>
        <v>0.63439328416364549</v>
      </c>
      <c r="F12" s="7">
        <f t="shared" si="1"/>
        <v>0.77301045336273699</v>
      </c>
      <c r="G12" s="7">
        <f t="shared" si="2"/>
        <v>0.63439328416364549</v>
      </c>
      <c r="H12" s="7">
        <f t="shared" si="3"/>
        <v>0.77301045336273699</v>
      </c>
      <c r="I12" s="7">
        <f t="shared" si="4"/>
        <v>0.63439328416364549</v>
      </c>
      <c r="J12" s="7">
        <f t="shared" si="5"/>
        <v>0.77301045336273699</v>
      </c>
      <c r="K12" s="7">
        <f t="shared" si="6"/>
        <v>0.63439328416364549</v>
      </c>
      <c r="L12" s="7">
        <f t="shared" si="7"/>
        <v>0.77301045336273699</v>
      </c>
      <c r="M12" s="7">
        <f t="shared" si="8"/>
        <v>0.63439328416364549</v>
      </c>
      <c r="N12" s="7">
        <f t="shared" si="9"/>
        <v>0.77301045336273699</v>
      </c>
    </row>
    <row r="13" spans="2:14" x14ac:dyDescent="0.45">
      <c r="B13" s="19">
        <v>8</v>
      </c>
      <c r="C13" s="48">
        <f t="shared" si="10"/>
        <v>0.70710678118654746</v>
      </c>
      <c r="D13" s="49">
        <f t="shared" si="11"/>
        <v>0.70710678118654757</v>
      </c>
      <c r="E13" s="5">
        <f t="shared" si="0"/>
        <v>0.70710678118654746</v>
      </c>
      <c r="F13" s="7">
        <f t="shared" si="1"/>
        <v>0.70710678118654757</v>
      </c>
      <c r="G13" s="7">
        <f t="shared" si="2"/>
        <v>0.70710678118654746</v>
      </c>
      <c r="H13" s="7">
        <f t="shared" si="3"/>
        <v>0.70710678118654757</v>
      </c>
      <c r="I13" s="7">
        <f t="shared" si="4"/>
        <v>0.70710678118654746</v>
      </c>
      <c r="J13" s="7">
        <f t="shared" si="5"/>
        <v>0.70710678118654757</v>
      </c>
      <c r="K13" s="7">
        <f t="shared" si="6"/>
        <v>0.70710678118654746</v>
      </c>
      <c r="L13" s="7">
        <f t="shared" si="7"/>
        <v>0.70710678118654757</v>
      </c>
      <c r="M13" s="7">
        <f t="shared" si="8"/>
        <v>0.70710678118654746</v>
      </c>
      <c r="N13" s="7">
        <f t="shared" si="9"/>
        <v>0.70710678118654757</v>
      </c>
    </row>
    <row r="14" spans="2:14" x14ac:dyDescent="0.45">
      <c r="B14" s="19">
        <v>9</v>
      </c>
      <c r="C14" s="48">
        <f t="shared" si="10"/>
        <v>0.77301045336273699</v>
      </c>
      <c r="D14" s="49">
        <f t="shared" si="11"/>
        <v>0.63439328416364549</v>
      </c>
      <c r="E14" s="5">
        <f t="shared" si="0"/>
        <v>0.77301045336273699</v>
      </c>
      <c r="F14" s="7">
        <f t="shared" si="1"/>
        <v>0.63439328416364549</v>
      </c>
      <c r="G14" s="7">
        <f t="shared" si="2"/>
        <v>0.77301045336273699</v>
      </c>
      <c r="H14" s="7">
        <f t="shared" si="3"/>
        <v>0.63439328416364549</v>
      </c>
      <c r="I14" s="7">
        <f t="shared" si="4"/>
        <v>0.77301045336273699</v>
      </c>
      <c r="J14" s="7">
        <f t="shared" si="5"/>
        <v>0.63439328416364549</v>
      </c>
      <c r="K14" s="7">
        <f t="shared" si="6"/>
        <v>0.77301045336273699</v>
      </c>
      <c r="L14" s="7">
        <f t="shared" si="7"/>
        <v>0.63439328416364549</v>
      </c>
      <c r="M14" s="7">
        <f t="shared" si="8"/>
        <v>0.77301045336273699</v>
      </c>
      <c r="N14" s="7">
        <f t="shared" si="9"/>
        <v>0.63439328416364549</v>
      </c>
    </row>
    <row r="15" spans="2:14" x14ac:dyDescent="0.45">
      <c r="B15" s="19">
        <v>10</v>
      </c>
      <c r="C15" s="48">
        <f t="shared" si="10"/>
        <v>0.83146961230254524</v>
      </c>
      <c r="D15" s="49">
        <f t="shared" si="11"/>
        <v>0.55557023301960229</v>
      </c>
      <c r="E15" s="5">
        <f t="shared" si="0"/>
        <v>0.83146961230254524</v>
      </c>
      <c r="F15" s="7">
        <f t="shared" si="1"/>
        <v>0.55557023301960229</v>
      </c>
      <c r="G15" s="7">
        <f t="shared" si="2"/>
        <v>0.83146961230254524</v>
      </c>
      <c r="H15" s="7">
        <f t="shared" si="3"/>
        <v>0.55557023301960229</v>
      </c>
      <c r="I15" s="7">
        <f t="shared" si="4"/>
        <v>0.83146961230254524</v>
      </c>
      <c r="J15" s="7">
        <f t="shared" si="5"/>
        <v>0.55557023301960229</v>
      </c>
      <c r="K15" s="7">
        <f t="shared" si="6"/>
        <v>0.83146961230254524</v>
      </c>
      <c r="L15" s="7">
        <f t="shared" si="7"/>
        <v>0.55557023301960229</v>
      </c>
      <c r="M15" s="7">
        <f t="shared" si="8"/>
        <v>0.83146961230254524</v>
      </c>
      <c r="N15" s="7">
        <f t="shared" si="9"/>
        <v>0.55557023301960229</v>
      </c>
    </row>
    <row r="16" spans="2:14" x14ac:dyDescent="0.45">
      <c r="B16" s="19">
        <v>11</v>
      </c>
      <c r="C16" s="48">
        <f t="shared" si="10"/>
        <v>0.88192126434835494</v>
      </c>
      <c r="D16" s="49">
        <f t="shared" si="11"/>
        <v>0.47139673682599781</v>
      </c>
      <c r="E16" s="5">
        <f t="shared" si="0"/>
        <v>0.88192126434835494</v>
      </c>
      <c r="F16" s="7">
        <f t="shared" si="1"/>
        <v>0.47139673682599781</v>
      </c>
      <c r="G16" s="7">
        <f t="shared" si="2"/>
        <v>0.88192126434835494</v>
      </c>
      <c r="H16" s="7">
        <f t="shared" si="3"/>
        <v>0.47139673682599781</v>
      </c>
      <c r="I16" s="7">
        <f t="shared" si="4"/>
        <v>0.88192126434835494</v>
      </c>
      <c r="J16" s="7">
        <f t="shared" si="5"/>
        <v>0.47139673682599781</v>
      </c>
      <c r="K16" s="7">
        <f t="shared" si="6"/>
        <v>0.88192126434835494</v>
      </c>
      <c r="L16" s="7">
        <f t="shared" si="7"/>
        <v>0.47139673682599781</v>
      </c>
      <c r="M16" s="7">
        <f t="shared" si="8"/>
        <v>0.88192126434835494</v>
      </c>
      <c r="N16" s="7">
        <f t="shared" si="9"/>
        <v>0.47139673682599781</v>
      </c>
    </row>
    <row r="17" spans="2:21" x14ac:dyDescent="0.45">
      <c r="B17" s="19">
        <v>12</v>
      </c>
      <c r="C17" s="48">
        <f t="shared" si="10"/>
        <v>0.92387953251128674</v>
      </c>
      <c r="D17" s="49">
        <f t="shared" si="11"/>
        <v>0.38268343236508984</v>
      </c>
      <c r="E17" s="5">
        <f t="shared" si="0"/>
        <v>0.92387953251128674</v>
      </c>
      <c r="F17" s="7">
        <f t="shared" si="1"/>
        <v>0.38268343236508984</v>
      </c>
      <c r="G17" s="7">
        <f t="shared" si="2"/>
        <v>0.92387953251128674</v>
      </c>
      <c r="H17" s="7">
        <f t="shared" si="3"/>
        <v>0.38268343236508984</v>
      </c>
      <c r="I17" s="7">
        <f t="shared" si="4"/>
        <v>0.92387953251128674</v>
      </c>
      <c r="J17" s="7">
        <f t="shared" si="5"/>
        <v>0.38268343236508984</v>
      </c>
      <c r="K17" s="7">
        <f t="shared" si="6"/>
        <v>0.92387953251128674</v>
      </c>
      <c r="L17" s="7">
        <f t="shared" si="7"/>
        <v>0.38268343236508984</v>
      </c>
      <c r="M17" s="7">
        <f t="shared" si="8"/>
        <v>0.92387953251128674</v>
      </c>
      <c r="N17" s="7">
        <f t="shared" si="9"/>
        <v>0.38268343236508984</v>
      </c>
    </row>
    <row r="18" spans="2:21" x14ac:dyDescent="0.45">
      <c r="B18" s="19">
        <v>13</v>
      </c>
      <c r="C18" s="48">
        <f t="shared" si="10"/>
        <v>0.95694033573220894</v>
      </c>
      <c r="D18" s="49">
        <f t="shared" si="11"/>
        <v>0.29028467725446233</v>
      </c>
      <c r="E18" s="5">
        <f t="shared" si="0"/>
        <v>0.95694033573220894</v>
      </c>
      <c r="F18" s="7">
        <f t="shared" si="1"/>
        <v>0.29028467725446233</v>
      </c>
      <c r="G18" s="7">
        <f t="shared" si="2"/>
        <v>0.95694033573220894</v>
      </c>
      <c r="H18" s="7">
        <f t="shared" si="3"/>
        <v>0.29028467725446233</v>
      </c>
      <c r="I18" s="7">
        <f t="shared" si="4"/>
        <v>0.95694033573220894</v>
      </c>
      <c r="J18" s="7">
        <f t="shared" si="5"/>
        <v>0.29028467725446233</v>
      </c>
      <c r="K18" s="7">
        <f t="shared" si="6"/>
        <v>0.95694033573220894</v>
      </c>
      <c r="L18" s="7">
        <f t="shared" si="7"/>
        <v>0.29028467725446233</v>
      </c>
      <c r="M18" s="7">
        <f t="shared" si="8"/>
        <v>0.95694033573220894</v>
      </c>
      <c r="N18" s="7">
        <f t="shared" si="9"/>
        <v>0.29028467725446233</v>
      </c>
    </row>
    <row r="19" spans="2:21" x14ac:dyDescent="0.45">
      <c r="B19" s="19">
        <v>14</v>
      </c>
      <c r="C19" s="48">
        <f t="shared" si="10"/>
        <v>0.98078528040323043</v>
      </c>
      <c r="D19" s="49">
        <f t="shared" si="11"/>
        <v>0.19509032201612833</v>
      </c>
      <c r="E19" s="5">
        <f t="shared" si="0"/>
        <v>0.98078528040323043</v>
      </c>
      <c r="F19" s="7">
        <f t="shared" si="1"/>
        <v>0.19509032201612833</v>
      </c>
      <c r="G19" s="7">
        <f t="shared" si="2"/>
        <v>0.98078528040323043</v>
      </c>
      <c r="H19" s="7">
        <f t="shared" si="3"/>
        <v>0.19509032201612833</v>
      </c>
      <c r="I19" s="7">
        <f t="shared" si="4"/>
        <v>0.98078528040323043</v>
      </c>
      <c r="J19" s="7">
        <f t="shared" si="5"/>
        <v>0.19509032201612833</v>
      </c>
      <c r="K19" s="7">
        <f t="shared" si="6"/>
        <v>0.98078528040323043</v>
      </c>
      <c r="L19" s="7">
        <f t="shared" si="7"/>
        <v>0.19509032201612833</v>
      </c>
      <c r="M19" s="7">
        <f t="shared" si="8"/>
        <v>0.98078528040323043</v>
      </c>
      <c r="N19" s="7">
        <f t="shared" si="9"/>
        <v>0.19509032201612833</v>
      </c>
    </row>
    <row r="20" spans="2:21" ht="18.600000000000001" thickBot="1" x14ac:dyDescent="0.5">
      <c r="B20" s="19">
        <v>15</v>
      </c>
      <c r="C20" s="48">
        <f t="shared" si="10"/>
        <v>0.99518472667219682</v>
      </c>
      <c r="D20" s="49">
        <f t="shared" si="11"/>
        <v>9.801714032956077E-2</v>
      </c>
      <c r="E20" s="5">
        <f t="shared" si="0"/>
        <v>0.99518472667219682</v>
      </c>
      <c r="F20" s="7">
        <f t="shared" si="1"/>
        <v>9.801714032956077E-2</v>
      </c>
      <c r="G20" s="7">
        <f t="shared" si="2"/>
        <v>0.99518472667219682</v>
      </c>
      <c r="H20" s="7">
        <f t="shared" si="3"/>
        <v>9.801714032956077E-2</v>
      </c>
      <c r="I20" s="7">
        <f t="shared" si="4"/>
        <v>0.99518472667219682</v>
      </c>
      <c r="J20" s="7">
        <f t="shared" si="5"/>
        <v>9.801714032956077E-2</v>
      </c>
      <c r="K20" s="7">
        <f t="shared" si="6"/>
        <v>0.99518472667219682</v>
      </c>
      <c r="L20" s="7">
        <f t="shared" si="7"/>
        <v>9.801714032956077E-2</v>
      </c>
      <c r="M20" s="7">
        <f t="shared" si="8"/>
        <v>0.99518472667219682</v>
      </c>
      <c r="N20" s="7">
        <f t="shared" si="9"/>
        <v>9.801714032956077E-2</v>
      </c>
    </row>
    <row r="21" spans="2:21" ht="18.600000000000001" thickBot="1" x14ac:dyDescent="0.5">
      <c r="B21" s="19">
        <v>16</v>
      </c>
      <c r="C21" s="48">
        <f t="shared" si="10"/>
        <v>1</v>
      </c>
      <c r="D21" s="49">
        <f t="shared" si="11"/>
        <v>6.1257422745431001E-17</v>
      </c>
      <c r="E21" s="5">
        <f t="shared" si="0"/>
        <v>1</v>
      </c>
      <c r="F21" s="7">
        <f t="shared" si="1"/>
        <v>6.1257422745431001E-17</v>
      </c>
      <c r="G21" s="7">
        <f t="shared" si="2"/>
        <v>1</v>
      </c>
      <c r="H21" s="7">
        <f t="shared" si="3"/>
        <v>6.1257422745431001E-17</v>
      </c>
      <c r="I21" s="7">
        <f t="shared" si="4"/>
        <v>1</v>
      </c>
      <c r="J21" s="7">
        <f t="shared" si="5"/>
        <v>6.1257422745431001E-17</v>
      </c>
      <c r="K21" s="7">
        <f t="shared" si="6"/>
        <v>1</v>
      </c>
      <c r="L21" s="7">
        <f t="shared" si="7"/>
        <v>6.1257422745431001E-17</v>
      </c>
      <c r="M21" s="7">
        <f t="shared" si="8"/>
        <v>1</v>
      </c>
      <c r="N21" s="7">
        <f t="shared" si="9"/>
        <v>6.1257422745431001E-17</v>
      </c>
      <c r="Q21" s="22" t="s">
        <v>67</v>
      </c>
      <c r="R21" s="22" t="s">
        <v>68</v>
      </c>
      <c r="S21" s="23" t="s">
        <v>69</v>
      </c>
      <c r="T21" s="24" t="s">
        <v>70</v>
      </c>
      <c r="U21" s="24" t="s">
        <v>71</v>
      </c>
    </row>
    <row r="22" spans="2:21" ht="18.600000000000001" thickBot="1" x14ac:dyDescent="0.5">
      <c r="B22" s="19">
        <v>17</v>
      </c>
      <c r="C22" s="48">
        <f t="shared" si="10"/>
        <v>0.99518472667219693</v>
      </c>
      <c r="D22" s="49">
        <f t="shared" si="11"/>
        <v>-9.8017140329560645E-2</v>
      </c>
      <c r="E22" s="5">
        <f t="shared" si="0"/>
        <v>0.99518472667219693</v>
      </c>
      <c r="F22" s="7">
        <f t="shared" si="1"/>
        <v>-9.8017140329560645E-2</v>
      </c>
      <c r="G22" s="7">
        <f t="shared" si="2"/>
        <v>0.99518472667219693</v>
      </c>
      <c r="H22" s="7">
        <f t="shared" si="3"/>
        <v>-9.8017140329560645E-2</v>
      </c>
      <c r="I22" s="7">
        <f t="shared" si="4"/>
        <v>0.99518472667219693</v>
      </c>
      <c r="J22" s="7">
        <f t="shared" si="5"/>
        <v>-9.8017140329560645E-2</v>
      </c>
      <c r="K22" s="7">
        <f t="shared" si="6"/>
        <v>0.99518472667219693</v>
      </c>
      <c r="L22" s="7">
        <f t="shared" si="7"/>
        <v>-9.8017140329560645E-2</v>
      </c>
      <c r="M22" s="7">
        <f t="shared" si="8"/>
        <v>0.99518472667219693</v>
      </c>
      <c r="N22" s="7">
        <f t="shared" si="9"/>
        <v>-9.8017140329560645E-2</v>
      </c>
      <c r="Q22" s="1">
        <v>1</v>
      </c>
      <c r="R22" s="1">
        <v>1</v>
      </c>
      <c r="S22" s="3">
        <v>1</v>
      </c>
      <c r="T22" s="2">
        <v>1</v>
      </c>
      <c r="U22" s="2">
        <v>1</v>
      </c>
    </row>
    <row r="23" spans="2:21" x14ac:dyDescent="0.45">
      <c r="B23" s="19">
        <v>18</v>
      </c>
      <c r="C23" s="48">
        <f t="shared" si="10"/>
        <v>0.98078528040323043</v>
      </c>
      <c r="D23" s="49">
        <f t="shared" si="11"/>
        <v>-0.19509032201612819</v>
      </c>
      <c r="E23" s="5">
        <f t="shared" si="0"/>
        <v>0.98078528040323043</v>
      </c>
      <c r="F23" s="7">
        <f t="shared" si="1"/>
        <v>-0.19509032201612819</v>
      </c>
      <c r="G23" s="7">
        <f t="shared" si="2"/>
        <v>0.98078528040323043</v>
      </c>
      <c r="H23" s="7">
        <f t="shared" si="3"/>
        <v>-0.19509032201612819</v>
      </c>
      <c r="I23" s="7">
        <f t="shared" si="4"/>
        <v>0.98078528040323043</v>
      </c>
      <c r="J23" s="7">
        <f t="shared" si="5"/>
        <v>-0.19509032201612819</v>
      </c>
      <c r="K23" s="7">
        <f t="shared" si="6"/>
        <v>0.98078528040323043</v>
      </c>
      <c r="L23" s="7">
        <f t="shared" si="7"/>
        <v>-0.19509032201612819</v>
      </c>
      <c r="M23" s="7">
        <f t="shared" si="8"/>
        <v>0.98078528040323043</v>
      </c>
      <c r="N23" s="7">
        <f t="shared" si="9"/>
        <v>-0.19509032201612819</v>
      </c>
    </row>
    <row r="24" spans="2:21" x14ac:dyDescent="0.45">
      <c r="B24" s="19">
        <v>19</v>
      </c>
      <c r="C24" s="48">
        <f t="shared" si="10"/>
        <v>0.95694033573220894</v>
      </c>
      <c r="D24" s="49">
        <f t="shared" si="11"/>
        <v>-0.29028467725446216</v>
      </c>
      <c r="E24" s="5">
        <f t="shared" si="0"/>
        <v>0.95694033573220894</v>
      </c>
      <c r="F24" s="7">
        <f t="shared" si="1"/>
        <v>-0.29028467725446216</v>
      </c>
      <c r="G24" s="7">
        <f t="shared" si="2"/>
        <v>0.95694033573220894</v>
      </c>
      <c r="H24" s="7">
        <f t="shared" si="3"/>
        <v>-0.29028467725446216</v>
      </c>
      <c r="I24" s="7">
        <f t="shared" si="4"/>
        <v>0.95694033573220894</v>
      </c>
      <c r="J24" s="7">
        <f t="shared" si="5"/>
        <v>-0.29028467725446216</v>
      </c>
      <c r="K24" s="7">
        <f t="shared" si="6"/>
        <v>0.95694033573220894</v>
      </c>
      <c r="L24" s="7">
        <f t="shared" si="7"/>
        <v>-0.29028467725446216</v>
      </c>
      <c r="M24" s="7">
        <f t="shared" si="8"/>
        <v>0.95694033573220894</v>
      </c>
      <c r="N24" s="7">
        <f t="shared" si="9"/>
        <v>-0.29028467725446216</v>
      </c>
    </row>
    <row r="25" spans="2:21" x14ac:dyDescent="0.45">
      <c r="B25" s="19">
        <v>20</v>
      </c>
      <c r="C25" s="48">
        <f t="shared" si="10"/>
        <v>0.92387953251128674</v>
      </c>
      <c r="D25" s="49">
        <f t="shared" si="11"/>
        <v>-0.38268343236508973</v>
      </c>
      <c r="E25" s="5">
        <f t="shared" si="0"/>
        <v>0.92387953251128674</v>
      </c>
      <c r="F25" s="7">
        <f t="shared" si="1"/>
        <v>-0.38268343236508973</v>
      </c>
      <c r="G25" s="7">
        <f t="shared" si="2"/>
        <v>0.92387953251128674</v>
      </c>
      <c r="H25" s="7">
        <f t="shared" si="3"/>
        <v>-0.38268343236508973</v>
      </c>
      <c r="I25" s="7">
        <f t="shared" si="4"/>
        <v>0.92387953251128674</v>
      </c>
      <c r="J25" s="7">
        <f t="shared" si="5"/>
        <v>-0.38268343236508973</v>
      </c>
      <c r="K25" s="7">
        <f t="shared" si="6"/>
        <v>0.92387953251128674</v>
      </c>
      <c r="L25" s="7">
        <f t="shared" si="7"/>
        <v>-0.38268343236508973</v>
      </c>
      <c r="M25" s="7">
        <f t="shared" si="8"/>
        <v>0.92387953251128674</v>
      </c>
      <c r="N25" s="7">
        <f t="shared" si="9"/>
        <v>-0.38268343236508973</v>
      </c>
    </row>
    <row r="26" spans="2:21" x14ac:dyDescent="0.45">
      <c r="B26" s="19">
        <v>21</v>
      </c>
      <c r="C26" s="48">
        <f t="shared" si="10"/>
        <v>0.88192126434835505</v>
      </c>
      <c r="D26" s="49">
        <f t="shared" si="11"/>
        <v>-0.4713967368259977</v>
      </c>
      <c r="E26" s="5">
        <f t="shared" si="0"/>
        <v>0.88192126434835505</v>
      </c>
      <c r="F26" s="7">
        <f t="shared" si="1"/>
        <v>-0.4713967368259977</v>
      </c>
      <c r="G26" s="7">
        <f t="shared" si="2"/>
        <v>0.88192126434835505</v>
      </c>
      <c r="H26" s="7">
        <f t="shared" si="3"/>
        <v>-0.4713967368259977</v>
      </c>
      <c r="I26" s="7">
        <f t="shared" si="4"/>
        <v>0.88192126434835505</v>
      </c>
      <c r="J26" s="7">
        <f t="shared" si="5"/>
        <v>-0.4713967368259977</v>
      </c>
      <c r="K26" s="7">
        <f t="shared" si="6"/>
        <v>0.88192126434835505</v>
      </c>
      <c r="L26" s="7">
        <f t="shared" si="7"/>
        <v>-0.4713967368259977</v>
      </c>
      <c r="M26" s="7">
        <f t="shared" si="8"/>
        <v>0.88192126434835505</v>
      </c>
      <c r="N26" s="7">
        <f t="shared" si="9"/>
        <v>-0.4713967368259977</v>
      </c>
    </row>
    <row r="27" spans="2:21" x14ac:dyDescent="0.45">
      <c r="B27" s="19">
        <v>22</v>
      </c>
      <c r="C27" s="48">
        <f t="shared" si="10"/>
        <v>0.83146961230254546</v>
      </c>
      <c r="D27" s="49">
        <f t="shared" si="11"/>
        <v>-0.55557023301960196</v>
      </c>
      <c r="E27" s="5">
        <f t="shared" si="0"/>
        <v>0.83146961230254546</v>
      </c>
      <c r="F27" s="7">
        <f t="shared" si="1"/>
        <v>-0.55557023301960196</v>
      </c>
      <c r="G27" s="7">
        <f t="shared" si="2"/>
        <v>0.83146961230254546</v>
      </c>
      <c r="H27" s="7">
        <f t="shared" si="3"/>
        <v>-0.55557023301960196</v>
      </c>
      <c r="I27" s="7">
        <f t="shared" si="4"/>
        <v>0.83146961230254546</v>
      </c>
      <c r="J27" s="7">
        <f t="shared" si="5"/>
        <v>-0.55557023301960196</v>
      </c>
      <c r="K27" s="7">
        <f t="shared" si="6"/>
        <v>0.83146961230254546</v>
      </c>
      <c r="L27" s="7">
        <f t="shared" si="7"/>
        <v>-0.55557023301960196</v>
      </c>
      <c r="M27" s="7">
        <f t="shared" si="8"/>
        <v>0.83146961230254546</v>
      </c>
      <c r="N27" s="7">
        <f t="shared" si="9"/>
        <v>-0.55557023301960196</v>
      </c>
    </row>
    <row r="28" spans="2:21" x14ac:dyDescent="0.45">
      <c r="B28" s="19">
        <v>23</v>
      </c>
      <c r="C28" s="48">
        <f t="shared" si="10"/>
        <v>0.7730104533627371</v>
      </c>
      <c r="D28" s="49">
        <f t="shared" si="11"/>
        <v>-0.63439328416364538</v>
      </c>
      <c r="E28" s="5">
        <f t="shared" si="0"/>
        <v>0.7730104533627371</v>
      </c>
      <c r="F28" s="7">
        <f t="shared" si="1"/>
        <v>-0.63439328416364538</v>
      </c>
      <c r="G28" s="7">
        <f t="shared" si="2"/>
        <v>0.7730104533627371</v>
      </c>
      <c r="H28" s="7">
        <f t="shared" si="3"/>
        <v>-0.63439328416364538</v>
      </c>
      <c r="I28" s="7">
        <f t="shared" si="4"/>
        <v>0.7730104533627371</v>
      </c>
      <c r="J28" s="7">
        <f t="shared" si="5"/>
        <v>-0.63439328416364538</v>
      </c>
      <c r="K28" s="7">
        <f t="shared" si="6"/>
        <v>0.7730104533627371</v>
      </c>
      <c r="L28" s="7">
        <f t="shared" si="7"/>
        <v>-0.63439328416364538</v>
      </c>
      <c r="M28" s="7">
        <f t="shared" si="8"/>
        <v>0.7730104533627371</v>
      </c>
      <c r="N28" s="7">
        <f t="shared" si="9"/>
        <v>-0.63439328416364538</v>
      </c>
    </row>
    <row r="29" spans="2:21" x14ac:dyDescent="0.45">
      <c r="B29" s="19">
        <v>24</v>
      </c>
      <c r="C29" s="48">
        <f t="shared" si="10"/>
        <v>0.70710678118654757</v>
      </c>
      <c r="D29" s="49">
        <f t="shared" si="11"/>
        <v>-0.70710678118654746</v>
      </c>
      <c r="E29" s="5">
        <f t="shared" si="0"/>
        <v>0.70710678118654757</v>
      </c>
      <c r="F29" s="7">
        <f t="shared" si="1"/>
        <v>-0.70710678118654746</v>
      </c>
      <c r="G29" s="7">
        <f t="shared" si="2"/>
        <v>0.70710678118654757</v>
      </c>
      <c r="H29" s="7">
        <f t="shared" si="3"/>
        <v>-0.70710678118654746</v>
      </c>
      <c r="I29" s="7">
        <f t="shared" si="4"/>
        <v>0.70710678118654757</v>
      </c>
      <c r="J29" s="7">
        <f t="shared" si="5"/>
        <v>-0.70710678118654746</v>
      </c>
      <c r="K29" s="7">
        <f t="shared" si="6"/>
        <v>0.70710678118654757</v>
      </c>
      <c r="L29" s="7">
        <f t="shared" si="7"/>
        <v>-0.70710678118654746</v>
      </c>
      <c r="M29" s="7">
        <f t="shared" si="8"/>
        <v>0.70710678118654757</v>
      </c>
      <c r="N29" s="7">
        <f t="shared" si="9"/>
        <v>-0.70710678118654746</v>
      </c>
    </row>
    <row r="30" spans="2:21" x14ac:dyDescent="0.45">
      <c r="B30" s="19">
        <v>25</v>
      </c>
      <c r="C30" s="48">
        <f t="shared" si="10"/>
        <v>0.63439328416364549</v>
      </c>
      <c r="D30" s="49">
        <f t="shared" si="11"/>
        <v>-0.77301045336273699</v>
      </c>
      <c r="E30" s="5">
        <f t="shared" si="0"/>
        <v>0.63439328416364549</v>
      </c>
      <c r="F30" s="7">
        <f t="shared" si="1"/>
        <v>-0.77301045336273699</v>
      </c>
      <c r="G30" s="7">
        <f t="shared" si="2"/>
        <v>0.63439328416364549</v>
      </c>
      <c r="H30" s="7">
        <f t="shared" si="3"/>
        <v>-0.77301045336273699</v>
      </c>
      <c r="I30" s="7">
        <f t="shared" si="4"/>
        <v>0.63439328416364549</v>
      </c>
      <c r="J30" s="7">
        <f t="shared" si="5"/>
        <v>-0.77301045336273699</v>
      </c>
      <c r="K30" s="7">
        <f t="shared" si="6"/>
        <v>0.63439328416364549</v>
      </c>
      <c r="L30" s="7">
        <f t="shared" si="7"/>
        <v>-0.77301045336273699</v>
      </c>
      <c r="M30" s="7">
        <f t="shared" si="8"/>
        <v>0.63439328416364549</v>
      </c>
      <c r="N30" s="7">
        <f t="shared" si="9"/>
        <v>-0.77301045336273699</v>
      </c>
    </row>
    <row r="31" spans="2:21" x14ac:dyDescent="0.45">
      <c r="B31" s="19">
        <v>26</v>
      </c>
      <c r="C31" s="48">
        <f t="shared" si="10"/>
        <v>0.55557023301960218</v>
      </c>
      <c r="D31" s="49">
        <f t="shared" si="11"/>
        <v>-0.83146961230254535</v>
      </c>
      <c r="E31" s="5">
        <f t="shared" si="0"/>
        <v>0.55557023301960218</v>
      </c>
      <c r="F31" s="7">
        <f t="shared" si="1"/>
        <v>-0.83146961230254535</v>
      </c>
      <c r="G31" s="7">
        <f t="shared" si="2"/>
        <v>0.55557023301960218</v>
      </c>
      <c r="H31" s="7">
        <f t="shared" si="3"/>
        <v>-0.83146961230254535</v>
      </c>
      <c r="I31" s="7">
        <f t="shared" si="4"/>
        <v>0.55557023301960218</v>
      </c>
      <c r="J31" s="7">
        <f t="shared" si="5"/>
        <v>-0.83146961230254535</v>
      </c>
      <c r="K31" s="7">
        <f t="shared" si="6"/>
        <v>0.55557023301960218</v>
      </c>
      <c r="L31" s="7">
        <f t="shared" si="7"/>
        <v>-0.83146961230254535</v>
      </c>
      <c r="M31" s="7">
        <f t="shared" si="8"/>
        <v>0.55557023301960218</v>
      </c>
      <c r="N31" s="7">
        <f t="shared" si="9"/>
        <v>-0.83146961230254535</v>
      </c>
    </row>
    <row r="32" spans="2:21" x14ac:dyDescent="0.45">
      <c r="B32" s="19">
        <v>27</v>
      </c>
      <c r="C32" s="48">
        <f t="shared" si="10"/>
        <v>0.47139673682599786</v>
      </c>
      <c r="D32" s="49">
        <f t="shared" si="11"/>
        <v>-0.88192126434835494</v>
      </c>
      <c r="E32" s="5">
        <f t="shared" si="0"/>
        <v>0.47139673682599786</v>
      </c>
      <c r="F32" s="7">
        <f t="shared" si="1"/>
        <v>-0.88192126434835494</v>
      </c>
      <c r="G32" s="7">
        <f t="shared" si="2"/>
        <v>0.47139673682599786</v>
      </c>
      <c r="H32" s="7">
        <f t="shared" si="3"/>
        <v>-0.88192126434835494</v>
      </c>
      <c r="I32" s="7">
        <f t="shared" si="4"/>
        <v>0.47139673682599786</v>
      </c>
      <c r="J32" s="7">
        <f t="shared" si="5"/>
        <v>-0.88192126434835494</v>
      </c>
      <c r="K32" s="7">
        <f t="shared" si="6"/>
        <v>0.47139673682599786</v>
      </c>
      <c r="L32" s="7">
        <f t="shared" si="7"/>
        <v>-0.88192126434835494</v>
      </c>
      <c r="M32" s="7">
        <f t="shared" si="8"/>
        <v>0.47139673682599786</v>
      </c>
      <c r="N32" s="7">
        <f t="shared" si="9"/>
        <v>-0.88192126434835494</v>
      </c>
    </row>
    <row r="33" spans="2:14" x14ac:dyDescent="0.45">
      <c r="B33" s="19">
        <v>28</v>
      </c>
      <c r="C33" s="48">
        <f t="shared" si="10"/>
        <v>0.38268343236508989</v>
      </c>
      <c r="D33" s="49">
        <f t="shared" si="11"/>
        <v>-0.92387953251128674</v>
      </c>
      <c r="E33" s="5">
        <f t="shared" si="0"/>
        <v>0.38268343236508989</v>
      </c>
      <c r="F33" s="7">
        <f t="shared" si="1"/>
        <v>-0.92387953251128674</v>
      </c>
      <c r="G33" s="7">
        <f t="shared" si="2"/>
        <v>0.38268343236508989</v>
      </c>
      <c r="H33" s="7">
        <f t="shared" si="3"/>
        <v>-0.92387953251128674</v>
      </c>
      <c r="I33" s="7">
        <f t="shared" si="4"/>
        <v>0.38268343236508989</v>
      </c>
      <c r="J33" s="7">
        <f t="shared" si="5"/>
        <v>-0.92387953251128674</v>
      </c>
      <c r="K33" s="7">
        <f t="shared" si="6"/>
        <v>0.38268343236508989</v>
      </c>
      <c r="L33" s="7">
        <f t="shared" si="7"/>
        <v>-0.92387953251128674</v>
      </c>
      <c r="M33" s="7">
        <f t="shared" si="8"/>
        <v>0.38268343236508989</v>
      </c>
      <c r="N33" s="7">
        <f t="shared" si="9"/>
        <v>-0.92387953251128674</v>
      </c>
    </row>
    <row r="34" spans="2:14" x14ac:dyDescent="0.45">
      <c r="B34" s="19">
        <v>29</v>
      </c>
      <c r="C34" s="48">
        <f t="shared" si="10"/>
        <v>0.29028467725446239</v>
      </c>
      <c r="D34" s="49">
        <f t="shared" si="11"/>
        <v>-0.95694033573220882</v>
      </c>
      <c r="E34" s="5">
        <f t="shared" si="0"/>
        <v>0.29028467725446239</v>
      </c>
      <c r="F34" s="7">
        <f t="shared" si="1"/>
        <v>-0.95694033573220882</v>
      </c>
      <c r="G34" s="7">
        <f t="shared" si="2"/>
        <v>0.29028467725446239</v>
      </c>
      <c r="H34" s="7">
        <f t="shared" si="3"/>
        <v>-0.95694033573220882</v>
      </c>
      <c r="I34" s="7">
        <f t="shared" si="4"/>
        <v>0.29028467725446239</v>
      </c>
      <c r="J34" s="7">
        <f t="shared" si="5"/>
        <v>-0.95694033573220882</v>
      </c>
      <c r="K34" s="7">
        <f t="shared" si="6"/>
        <v>0.29028467725446239</v>
      </c>
      <c r="L34" s="7">
        <f t="shared" si="7"/>
        <v>-0.95694033573220882</v>
      </c>
      <c r="M34" s="7">
        <f t="shared" si="8"/>
        <v>0.29028467725446239</v>
      </c>
      <c r="N34" s="7">
        <f t="shared" si="9"/>
        <v>-0.95694033573220882</v>
      </c>
    </row>
    <row r="35" spans="2:14" x14ac:dyDescent="0.45">
      <c r="B35" s="19">
        <v>30</v>
      </c>
      <c r="C35" s="48">
        <f t="shared" si="10"/>
        <v>0.19509032201612861</v>
      </c>
      <c r="D35" s="49">
        <f t="shared" si="11"/>
        <v>-0.98078528040323043</v>
      </c>
      <c r="E35" s="5">
        <f t="shared" si="0"/>
        <v>0.19509032201612861</v>
      </c>
      <c r="F35" s="7">
        <f t="shared" si="1"/>
        <v>-0.98078528040323043</v>
      </c>
      <c r="G35" s="7">
        <f t="shared" si="2"/>
        <v>0.19509032201612861</v>
      </c>
      <c r="H35" s="7">
        <f t="shared" si="3"/>
        <v>-0.98078528040323043</v>
      </c>
      <c r="I35" s="7">
        <f t="shared" si="4"/>
        <v>0.19509032201612861</v>
      </c>
      <c r="J35" s="7">
        <f t="shared" si="5"/>
        <v>-0.98078528040323043</v>
      </c>
      <c r="K35" s="7">
        <f t="shared" si="6"/>
        <v>0.19509032201612861</v>
      </c>
      <c r="L35" s="7">
        <f t="shared" si="7"/>
        <v>-0.98078528040323043</v>
      </c>
      <c r="M35" s="7">
        <f t="shared" si="8"/>
        <v>0.19509032201612861</v>
      </c>
      <c r="N35" s="7">
        <f t="shared" si="9"/>
        <v>-0.98078528040323043</v>
      </c>
    </row>
    <row r="36" spans="2:14" x14ac:dyDescent="0.45">
      <c r="B36" s="19">
        <v>31</v>
      </c>
      <c r="C36" s="48">
        <f t="shared" si="10"/>
        <v>9.8017140329560826E-2</v>
      </c>
      <c r="D36" s="49">
        <f t="shared" si="11"/>
        <v>-0.99518472667219682</v>
      </c>
      <c r="E36" s="5">
        <f t="shared" si="0"/>
        <v>9.8017140329560826E-2</v>
      </c>
      <c r="F36" s="7">
        <f t="shared" si="1"/>
        <v>-0.99518472667219682</v>
      </c>
      <c r="G36" s="7">
        <f t="shared" si="2"/>
        <v>9.8017140329560826E-2</v>
      </c>
      <c r="H36" s="7">
        <f t="shared" si="3"/>
        <v>-0.99518472667219682</v>
      </c>
      <c r="I36" s="7">
        <f t="shared" si="4"/>
        <v>9.8017140329560826E-2</v>
      </c>
      <c r="J36" s="7">
        <f t="shared" si="5"/>
        <v>-0.99518472667219682</v>
      </c>
      <c r="K36" s="7">
        <f t="shared" si="6"/>
        <v>9.8017140329560826E-2</v>
      </c>
      <c r="L36" s="7">
        <f t="shared" si="7"/>
        <v>-0.99518472667219682</v>
      </c>
      <c r="M36" s="7">
        <f t="shared" si="8"/>
        <v>9.8017140329560826E-2</v>
      </c>
      <c r="N36" s="7">
        <f t="shared" si="9"/>
        <v>-0.99518472667219682</v>
      </c>
    </row>
    <row r="37" spans="2:14" x14ac:dyDescent="0.45">
      <c r="B37" s="19">
        <v>32</v>
      </c>
      <c r="C37" s="48">
        <f t="shared" si="10"/>
        <v>1.22514845490862E-16</v>
      </c>
      <c r="D37" s="49">
        <f t="shared" si="11"/>
        <v>-1</v>
      </c>
      <c r="E37" s="5">
        <f t="shared" ref="E37:E69" si="12">SIN(2*PI()*B37*$Q$22/64)</f>
        <v>1.22514845490862E-16</v>
      </c>
      <c r="F37" s="7">
        <f t="shared" ref="F37:F69" si="13">COS(2*PI()*B37*$Q$22/64)</f>
        <v>-1</v>
      </c>
      <c r="G37" s="7">
        <f t="shared" ref="G37:G69" si="14">SIN(2*PI()*B37*$R$22/64)</f>
        <v>1.22514845490862E-16</v>
      </c>
      <c r="H37" s="7">
        <f t="shared" ref="H37:H69" si="15">COS(2*PI()*B37*$R$22/64)</f>
        <v>-1</v>
      </c>
      <c r="I37" s="7">
        <f t="shared" ref="I37:I69" si="16">SIN(2*PI()*B37*$S$22/64)</f>
        <v>1.22514845490862E-16</v>
      </c>
      <c r="J37" s="7">
        <f t="shared" ref="J37:J69" si="17">COS(2*PI()*B37*$S$22/64)</f>
        <v>-1</v>
      </c>
      <c r="K37" s="7">
        <f t="shared" ref="K37:K69" si="18">SIN(2*PI()*B37*$T$22/64)</f>
        <v>1.22514845490862E-16</v>
      </c>
      <c r="L37" s="7">
        <f t="shared" ref="L37:L69" si="19">COS(2*PI()*B37*$T$22/64)</f>
        <v>-1</v>
      </c>
      <c r="M37" s="7">
        <f t="shared" ref="M37:M69" si="20">SIN(2*PI()*B37*$U$22/64)</f>
        <v>1.22514845490862E-16</v>
      </c>
      <c r="N37" s="7">
        <f t="shared" ref="N37:N69" si="21">COS(2*PI()*B37*$U$22/64)</f>
        <v>-1</v>
      </c>
    </row>
    <row r="38" spans="2:14" x14ac:dyDescent="0.45">
      <c r="B38" s="19">
        <v>33</v>
      </c>
      <c r="C38" s="48">
        <f t="shared" si="10"/>
        <v>-9.801714032956059E-2</v>
      </c>
      <c r="D38" s="49">
        <f t="shared" si="11"/>
        <v>-0.99518472667219693</v>
      </c>
      <c r="E38" s="5">
        <f t="shared" si="12"/>
        <v>-9.801714032956059E-2</v>
      </c>
      <c r="F38" s="7">
        <f t="shared" si="13"/>
        <v>-0.99518472667219693</v>
      </c>
      <c r="G38" s="7">
        <f t="shared" si="14"/>
        <v>-9.801714032956059E-2</v>
      </c>
      <c r="H38" s="7">
        <f t="shared" si="15"/>
        <v>-0.99518472667219693</v>
      </c>
      <c r="I38" s="7">
        <f t="shared" si="16"/>
        <v>-9.801714032956059E-2</v>
      </c>
      <c r="J38" s="7">
        <f t="shared" si="17"/>
        <v>-0.99518472667219693</v>
      </c>
      <c r="K38" s="7">
        <f t="shared" si="18"/>
        <v>-9.801714032956059E-2</v>
      </c>
      <c r="L38" s="7">
        <f t="shared" si="19"/>
        <v>-0.99518472667219693</v>
      </c>
      <c r="M38" s="7">
        <f t="shared" si="20"/>
        <v>-9.801714032956059E-2</v>
      </c>
      <c r="N38" s="7">
        <f t="shared" si="21"/>
        <v>-0.99518472667219693</v>
      </c>
    </row>
    <row r="39" spans="2:14" x14ac:dyDescent="0.45">
      <c r="B39" s="19">
        <v>34</v>
      </c>
      <c r="C39" s="48">
        <f t="shared" si="10"/>
        <v>-0.19509032201612836</v>
      </c>
      <c r="D39" s="49">
        <f t="shared" si="11"/>
        <v>-0.98078528040323043</v>
      </c>
      <c r="E39" s="5">
        <f t="shared" si="12"/>
        <v>-0.19509032201612836</v>
      </c>
      <c r="F39" s="7">
        <f t="shared" si="13"/>
        <v>-0.98078528040323043</v>
      </c>
      <c r="G39" s="7">
        <f t="shared" si="14"/>
        <v>-0.19509032201612836</v>
      </c>
      <c r="H39" s="7">
        <f t="shared" si="15"/>
        <v>-0.98078528040323043</v>
      </c>
      <c r="I39" s="7">
        <f t="shared" si="16"/>
        <v>-0.19509032201612836</v>
      </c>
      <c r="J39" s="7">
        <f t="shared" si="17"/>
        <v>-0.98078528040323043</v>
      </c>
      <c r="K39" s="7">
        <f t="shared" si="18"/>
        <v>-0.19509032201612836</v>
      </c>
      <c r="L39" s="7">
        <f t="shared" si="19"/>
        <v>-0.98078528040323043</v>
      </c>
      <c r="M39" s="7">
        <f t="shared" si="20"/>
        <v>-0.19509032201612836</v>
      </c>
      <c r="N39" s="7">
        <f t="shared" si="21"/>
        <v>-0.98078528040323043</v>
      </c>
    </row>
    <row r="40" spans="2:14" x14ac:dyDescent="0.45">
      <c r="B40" s="19">
        <v>35</v>
      </c>
      <c r="C40" s="48">
        <f t="shared" si="10"/>
        <v>-0.29028467725446211</v>
      </c>
      <c r="D40" s="49">
        <f t="shared" si="11"/>
        <v>-0.95694033573220894</v>
      </c>
      <c r="E40" s="5">
        <f t="shared" si="12"/>
        <v>-0.29028467725446211</v>
      </c>
      <c r="F40" s="7">
        <f t="shared" si="13"/>
        <v>-0.95694033573220894</v>
      </c>
      <c r="G40" s="7">
        <f t="shared" si="14"/>
        <v>-0.29028467725446211</v>
      </c>
      <c r="H40" s="7">
        <f t="shared" si="15"/>
        <v>-0.95694033573220894</v>
      </c>
      <c r="I40" s="7">
        <f t="shared" si="16"/>
        <v>-0.29028467725446211</v>
      </c>
      <c r="J40" s="7">
        <f t="shared" si="17"/>
        <v>-0.95694033573220894</v>
      </c>
      <c r="K40" s="7">
        <f t="shared" si="18"/>
        <v>-0.29028467725446211</v>
      </c>
      <c r="L40" s="7">
        <f t="shared" si="19"/>
        <v>-0.95694033573220894</v>
      </c>
      <c r="M40" s="7">
        <f t="shared" si="20"/>
        <v>-0.29028467725446211</v>
      </c>
      <c r="N40" s="7">
        <f t="shared" si="21"/>
        <v>-0.95694033573220894</v>
      </c>
    </row>
    <row r="41" spans="2:14" x14ac:dyDescent="0.45">
      <c r="B41" s="19">
        <v>36</v>
      </c>
      <c r="C41" s="48">
        <f t="shared" si="10"/>
        <v>-0.38268343236508967</v>
      </c>
      <c r="D41" s="49">
        <f t="shared" si="11"/>
        <v>-0.92387953251128685</v>
      </c>
      <c r="E41" s="5">
        <f t="shared" si="12"/>
        <v>-0.38268343236508967</v>
      </c>
      <c r="F41" s="7">
        <f t="shared" si="13"/>
        <v>-0.92387953251128685</v>
      </c>
      <c r="G41" s="7">
        <f t="shared" si="14"/>
        <v>-0.38268343236508967</v>
      </c>
      <c r="H41" s="7">
        <f t="shared" si="15"/>
        <v>-0.92387953251128685</v>
      </c>
      <c r="I41" s="7">
        <f t="shared" si="16"/>
        <v>-0.38268343236508967</v>
      </c>
      <c r="J41" s="7">
        <f t="shared" si="17"/>
        <v>-0.92387953251128685</v>
      </c>
      <c r="K41" s="7">
        <f t="shared" si="18"/>
        <v>-0.38268343236508967</v>
      </c>
      <c r="L41" s="7">
        <f t="shared" si="19"/>
        <v>-0.92387953251128685</v>
      </c>
      <c r="M41" s="7">
        <f t="shared" si="20"/>
        <v>-0.38268343236508967</v>
      </c>
      <c r="N41" s="7">
        <f t="shared" si="21"/>
        <v>-0.92387953251128685</v>
      </c>
    </row>
    <row r="42" spans="2:14" x14ac:dyDescent="0.45">
      <c r="B42" s="19">
        <v>37</v>
      </c>
      <c r="C42" s="48">
        <f t="shared" si="10"/>
        <v>-0.47139673682599764</v>
      </c>
      <c r="D42" s="49">
        <f t="shared" si="11"/>
        <v>-0.88192126434835505</v>
      </c>
      <c r="E42" s="5">
        <f t="shared" si="12"/>
        <v>-0.47139673682599764</v>
      </c>
      <c r="F42" s="7">
        <f t="shared" si="13"/>
        <v>-0.88192126434835505</v>
      </c>
      <c r="G42" s="7">
        <f t="shared" si="14"/>
        <v>-0.47139673682599764</v>
      </c>
      <c r="H42" s="7">
        <f t="shared" si="15"/>
        <v>-0.88192126434835505</v>
      </c>
      <c r="I42" s="7">
        <f t="shared" si="16"/>
        <v>-0.47139673682599764</v>
      </c>
      <c r="J42" s="7">
        <f t="shared" si="17"/>
        <v>-0.88192126434835505</v>
      </c>
      <c r="K42" s="7">
        <f t="shared" si="18"/>
        <v>-0.47139673682599764</v>
      </c>
      <c r="L42" s="7">
        <f t="shared" si="19"/>
        <v>-0.88192126434835505</v>
      </c>
      <c r="M42" s="7">
        <f t="shared" si="20"/>
        <v>-0.47139673682599764</v>
      </c>
      <c r="N42" s="7">
        <f t="shared" si="21"/>
        <v>-0.88192126434835505</v>
      </c>
    </row>
    <row r="43" spans="2:14" x14ac:dyDescent="0.45">
      <c r="B43" s="19">
        <v>38</v>
      </c>
      <c r="C43" s="48">
        <f t="shared" si="10"/>
        <v>-0.55557023301960196</v>
      </c>
      <c r="D43" s="49">
        <f t="shared" si="11"/>
        <v>-0.83146961230254546</v>
      </c>
      <c r="E43" s="5">
        <f t="shared" si="12"/>
        <v>-0.55557023301960196</v>
      </c>
      <c r="F43" s="7">
        <f t="shared" si="13"/>
        <v>-0.83146961230254546</v>
      </c>
      <c r="G43" s="7">
        <f t="shared" si="14"/>
        <v>-0.55557023301960196</v>
      </c>
      <c r="H43" s="7">
        <f t="shared" si="15"/>
        <v>-0.83146961230254546</v>
      </c>
      <c r="I43" s="7">
        <f t="shared" si="16"/>
        <v>-0.55557023301960196</v>
      </c>
      <c r="J43" s="7">
        <f t="shared" si="17"/>
        <v>-0.83146961230254546</v>
      </c>
      <c r="K43" s="7">
        <f t="shared" si="18"/>
        <v>-0.55557023301960196</v>
      </c>
      <c r="L43" s="7">
        <f t="shared" si="19"/>
        <v>-0.83146961230254546</v>
      </c>
      <c r="M43" s="7">
        <f t="shared" si="20"/>
        <v>-0.55557023301960196</v>
      </c>
      <c r="N43" s="7">
        <f t="shared" si="21"/>
        <v>-0.83146961230254546</v>
      </c>
    </row>
    <row r="44" spans="2:14" x14ac:dyDescent="0.45">
      <c r="B44" s="19">
        <v>39</v>
      </c>
      <c r="C44" s="48">
        <f t="shared" si="10"/>
        <v>-0.63439328416364527</v>
      </c>
      <c r="D44" s="49">
        <f t="shared" si="11"/>
        <v>-0.7730104533627371</v>
      </c>
      <c r="E44" s="5">
        <f t="shared" si="12"/>
        <v>-0.63439328416364527</v>
      </c>
      <c r="F44" s="7">
        <f t="shared" si="13"/>
        <v>-0.7730104533627371</v>
      </c>
      <c r="G44" s="7">
        <f t="shared" si="14"/>
        <v>-0.63439328416364527</v>
      </c>
      <c r="H44" s="7">
        <f t="shared" si="15"/>
        <v>-0.7730104533627371</v>
      </c>
      <c r="I44" s="7">
        <f t="shared" si="16"/>
        <v>-0.63439328416364527</v>
      </c>
      <c r="J44" s="7">
        <f t="shared" si="17"/>
        <v>-0.7730104533627371</v>
      </c>
      <c r="K44" s="7">
        <f t="shared" si="18"/>
        <v>-0.63439328416364527</v>
      </c>
      <c r="L44" s="7">
        <f t="shared" si="19"/>
        <v>-0.7730104533627371</v>
      </c>
      <c r="M44" s="7">
        <f t="shared" si="20"/>
        <v>-0.63439328416364527</v>
      </c>
      <c r="N44" s="7">
        <f t="shared" si="21"/>
        <v>-0.7730104533627371</v>
      </c>
    </row>
    <row r="45" spans="2:14" x14ac:dyDescent="0.45">
      <c r="B45" s="19">
        <v>40</v>
      </c>
      <c r="C45" s="48">
        <f t="shared" si="10"/>
        <v>-0.70710678118654746</v>
      </c>
      <c r="D45" s="49">
        <f t="shared" si="11"/>
        <v>-0.70710678118654768</v>
      </c>
      <c r="E45" s="5">
        <f t="shared" si="12"/>
        <v>-0.70710678118654746</v>
      </c>
      <c r="F45" s="7">
        <f t="shared" si="13"/>
        <v>-0.70710678118654768</v>
      </c>
      <c r="G45" s="7">
        <f t="shared" si="14"/>
        <v>-0.70710678118654746</v>
      </c>
      <c r="H45" s="7">
        <f t="shared" si="15"/>
        <v>-0.70710678118654768</v>
      </c>
      <c r="I45" s="7">
        <f t="shared" si="16"/>
        <v>-0.70710678118654746</v>
      </c>
      <c r="J45" s="7">
        <f t="shared" si="17"/>
        <v>-0.70710678118654768</v>
      </c>
      <c r="K45" s="7">
        <f t="shared" si="18"/>
        <v>-0.70710678118654746</v>
      </c>
      <c r="L45" s="7">
        <f t="shared" si="19"/>
        <v>-0.70710678118654768</v>
      </c>
      <c r="M45" s="7">
        <f t="shared" si="20"/>
        <v>-0.70710678118654746</v>
      </c>
      <c r="N45" s="7">
        <f t="shared" si="21"/>
        <v>-0.70710678118654768</v>
      </c>
    </row>
    <row r="46" spans="2:14" x14ac:dyDescent="0.45">
      <c r="B46" s="19">
        <v>41</v>
      </c>
      <c r="C46" s="48">
        <f t="shared" si="10"/>
        <v>-0.77301045336273666</v>
      </c>
      <c r="D46" s="49">
        <f t="shared" si="11"/>
        <v>-0.63439328416364593</v>
      </c>
      <c r="E46" s="5">
        <f t="shared" si="12"/>
        <v>-0.77301045336273666</v>
      </c>
      <c r="F46" s="7">
        <f t="shared" si="13"/>
        <v>-0.63439328416364593</v>
      </c>
      <c r="G46" s="7">
        <f t="shared" si="14"/>
        <v>-0.77301045336273666</v>
      </c>
      <c r="H46" s="7">
        <f t="shared" si="15"/>
        <v>-0.63439328416364593</v>
      </c>
      <c r="I46" s="7">
        <f t="shared" si="16"/>
        <v>-0.77301045336273666</v>
      </c>
      <c r="J46" s="7">
        <f t="shared" si="17"/>
        <v>-0.63439328416364593</v>
      </c>
      <c r="K46" s="7">
        <f t="shared" si="18"/>
        <v>-0.77301045336273666</v>
      </c>
      <c r="L46" s="7">
        <f t="shared" si="19"/>
        <v>-0.63439328416364593</v>
      </c>
      <c r="M46" s="7">
        <f t="shared" si="20"/>
        <v>-0.77301045336273666</v>
      </c>
      <c r="N46" s="7">
        <f t="shared" si="21"/>
        <v>-0.63439328416364593</v>
      </c>
    </row>
    <row r="47" spans="2:14" x14ac:dyDescent="0.45">
      <c r="B47" s="19">
        <v>42</v>
      </c>
      <c r="C47" s="48">
        <f t="shared" si="10"/>
        <v>-0.83146961230254524</v>
      </c>
      <c r="D47" s="49">
        <f t="shared" si="11"/>
        <v>-0.55557023301960218</v>
      </c>
      <c r="E47" s="5">
        <f t="shared" si="12"/>
        <v>-0.83146961230254524</v>
      </c>
      <c r="F47" s="7">
        <f t="shared" si="13"/>
        <v>-0.55557023301960218</v>
      </c>
      <c r="G47" s="7">
        <f t="shared" si="14"/>
        <v>-0.83146961230254524</v>
      </c>
      <c r="H47" s="7">
        <f t="shared" si="15"/>
        <v>-0.55557023301960218</v>
      </c>
      <c r="I47" s="7">
        <f t="shared" si="16"/>
        <v>-0.83146961230254524</v>
      </c>
      <c r="J47" s="7">
        <f t="shared" si="17"/>
        <v>-0.55557023301960218</v>
      </c>
      <c r="K47" s="7">
        <f t="shared" si="18"/>
        <v>-0.83146961230254524</v>
      </c>
      <c r="L47" s="7">
        <f t="shared" si="19"/>
        <v>-0.55557023301960218</v>
      </c>
      <c r="M47" s="7">
        <f t="shared" si="20"/>
        <v>-0.83146961230254524</v>
      </c>
      <c r="N47" s="7">
        <f t="shared" si="21"/>
        <v>-0.55557023301960218</v>
      </c>
    </row>
    <row r="48" spans="2:14" x14ac:dyDescent="0.45">
      <c r="B48" s="19">
        <v>43</v>
      </c>
      <c r="C48" s="48">
        <f t="shared" si="10"/>
        <v>-0.88192126434835494</v>
      </c>
      <c r="D48" s="49">
        <f t="shared" si="11"/>
        <v>-0.47139673682599786</v>
      </c>
      <c r="E48" s="5">
        <f t="shared" si="12"/>
        <v>-0.88192126434835494</v>
      </c>
      <c r="F48" s="7">
        <f t="shared" si="13"/>
        <v>-0.47139673682599786</v>
      </c>
      <c r="G48" s="7">
        <f t="shared" si="14"/>
        <v>-0.88192126434835494</v>
      </c>
      <c r="H48" s="7">
        <f t="shared" si="15"/>
        <v>-0.47139673682599786</v>
      </c>
      <c r="I48" s="7">
        <f t="shared" si="16"/>
        <v>-0.88192126434835494</v>
      </c>
      <c r="J48" s="7">
        <f t="shared" si="17"/>
        <v>-0.47139673682599786</v>
      </c>
      <c r="K48" s="7">
        <f t="shared" si="18"/>
        <v>-0.88192126434835494</v>
      </c>
      <c r="L48" s="7">
        <f t="shared" si="19"/>
        <v>-0.47139673682599786</v>
      </c>
      <c r="M48" s="7">
        <f t="shared" si="20"/>
        <v>-0.88192126434835494</v>
      </c>
      <c r="N48" s="7">
        <f t="shared" si="21"/>
        <v>-0.47139673682599786</v>
      </c>
    </row>
    <row r="49" spans="2:14" x14ac:dyDescent="0.45">
      <c r="B49" s="19">
        <v>44</v>
      </c>
      <c r="C49" s="48">
        <f t="shared" si="10"/>
        <v>-0.92387953251128652</v>
      </c>
      <c r="D49" s="49">
        <f t="shared" si="11"/>
        <v>-0.38268343236509034</v>
      </c>
      <c r="E49" s="5">
        <f t="shared" si="12"/>
        <v>-0.92387953251128652</v>
      </c>
      <c r="F49" s="7">
        <f t="shared" si="13"/>
        <v>-0.38268343236509034</v>
      </c>
      <c r="G49" s="7">
        <f t="shared" si="14"/>
        <v>-0.92387953251128652</v>
      </c>
      <c r="H49" s="7">
        <f t="shared" si="15"/>
        <v>-0.38268343236509034</v>
      </c>
      <c r="I49" s="7">
        <f t="shared" si="16"/>
        <v>-0.92387953251128652</v>
      </c>
      <c r="J49" s="7">
        <f t="shared" si="17"/>
        <v>-0.38268343236509034</v>
      </c>
      <c r="K49" s="7">
        <f t="shared" si="18"/>
        <v>-0.92387953251128652</v>
      </c>
      <c r="L49" s="7">
        <f t="shared" si="19"/>
        <v>-0.38268343236509034</v>
      </c>
      <c r="M49" s="7">
        <f t="shared" si="20"/>
        <v>-0.92387953251128652</v>
      </c>
      <c r="N49" s="7">
        <f t="shared" si="21"/>
        <v>-0.38268343236509034</v>
      </c>
    </row>
    <row r="50" spans="2:14" x14ac:dyDescent="0.45">
      <c r="B50" s="19">
        <v>45</v>
      </c>
      <c r="C50" s="48">
        <f t="shared" si="10"/>
        <v>-0.95694033573220882</v>
      </c>
      <c r="D50" s="49">
        <f t="shared" si="11"/>
        <v>-0.29028467725446244</v>
      </c>
      <c r="E50" s="5">
        <f t="shared" si="12"/>
        <v>-0.95694033573220882</v>
      </c>
      <c r="F50" s="7">
        <f t="shared" si="13"/>
        <v>-0.29028467725446244</v>
      </c>
      <c r="G50" s="7">
        <f t="shared" si="14"/>
        <v>-0.95694033573220882</v>
      </c>
      <c r="H50" s="7">
        <f t="shared" si="15"/>
        <v>-0.29028467725446244</v>
      </c>
      <c r="I50" s="7">
        <f t="shared" si="16"/>
        <v>-0.95694033573220882</v>
      </c>
      <c r="J50" s="7">
        <f t="shared" si="17"/>
        <v>-0.29028467725446244</v>
      </c>
      <c r="K50" s="7">
        <f t="shared" si="18"/>
        <v>-0.95694033573220882</v>
      </c>
      <c r="L50" s="7">
        <f t="shared" si="19"/>
        <v>-0.29028467725446244</v>
      </c>
      <c r="M50" s="7">
        <f t="shared" si="20"/>
        <v>-0.95694033573220882</v>
      </c>
      <c r="N50" s="7">
        <f t="shared" si="21"/>
        <v>-0.29028467725446244</v>
      </c>
    </row>
    <row r="51" spans="2:14" x14ac:dyDescent="0.45">
      <c r="B51" s="19">
        <v>46</v>
      </c>
      <c r="C51" s="48">
        <f t="shared" si="10"/>
        <v>-0.98078528040323032</v>
      </c>
      <c r="D51" s="49">
        <f t="shared" si="11"/>
        <v>-0.19509032201612866</v>
      </c>
      <c r="E51" s="5">
        <f t="shared" si="12"/>
        <v>-0.98078528040323032</v>
      </c>
      <c r="F51" s="7">
        <f t="shared" si="13"/>
        <v>-0.19509032201612866</v>
      </c>
      <c r="G51" s="7">
        <f t="shared" si="14"/>
        <v>-0.98078528040323032</v>
      </c>
      <c r="H51" s="7">
        <f t="shared" si="15"/>
        <v>-0.19509032201612866</v>
      </c>
      <c r="I51" s="7">
        <f t="shared" si="16"/>
        <v>-0.98078528040323032</v>
      </c>
      <c r="J51" s="7">
        <f t="shared" si="17"/>
        <v>-0.19509032201612866</v>
      </c>
      <c r="K51" s="7">
        <f t="shared" si="18"/>
        <v>-0.98078528040323032</v>
      </c>
      <c r="L51" s="7">
        <f t="shared" si="19"/>
        <v>-0.19509032201612866</v>
      </c>
      <c r="M51" s="7">
        <f t="shared" si="20"/>
        <v>-0.98078528040323032</v>
      </c>
      <c r="N51" s="7">
        <f t="shared" si="21"/>
        <v>-0.19509032201612866</v>
      </c>
    </row>
    <row r="52" spans="2:14" x14ac:dyDescent="0.45">
      <c r="B52" s="19">
        <v>47</v>
      </c>
      <c r="C52" s="48">
        <f t="shared" si="10"/>
        <v>-0.99518472667219693</v>
      </c>
      <c r="D52" s="49">
        <f t="shared" si="11"/>
        <v>-9.8017140329560451E-2</v>
      </c>
      <c r="E52" s="5">
        <f t="shared" si="12"/>
        <v>-0.99518472667219693</v>
      </c>
      <c r="F52" s="7">
        <f t="shared" si="13"/>
        <v>-9.8017140329560451E-2</v>
      </c>
      <c r="G52" s="7">
        <f t="shared" si="14"/>
        <v>-0.99518472667219693</v>
      </c>
      <c r="H52" s="7">
        <f t="shared" si="15"/>
        <v>-9.8017140329560451E-2</v>
      </c>
      <c r="I52" s="7">
        <f t="shared" si="16"/>
        <v>-0.99518472667219693</v>
      </c>
      <c r="J52" s="7">
        <f t="shared" si="17"/>
        <v>-9.8017140329560451E-2</v>
      </c>
      <c r="K52" s="7">
        <f t="shared" si="18"/>
        <v>-0.99518472667219693</v>
      </c>
      <c r="L52" s="7">
        <f t="shared" si="19"/>
        <v>-9.8017140329560451E-2</v>
      </c>
      <c r="M52" s="7">
        <f t="shared" si="20"/>
        <v>-0.99518472667219693</v>
      </c>
      <c r="N52" s="7">
        <f t="shared" si="21"/>
        <v>-9.8017140329560451E-2</v>
      </c>
    </row>
    <row r="53" spans="2:14" x14ac:dyDescent="0.45">
      <c r="B53" s="19">
        <v>48</v>
      </c>
      <c r="C53" s="48">
        <f t="shared" si="10"/>
        <v>-1</v>
      </c>
      <c r="D53" s="49">
        <f t="shared" si="11"/>
        <v>-1.83772268236293E-16</v>
      </c>
      <c r="E53" s="5">
        <f t="shared" si="12"/>
        <v>-1</v>
      </c>
      <c r="F53" s="7">
        <f t="shared" si="13"/>
        <v>-1.83772268236293E-16</v>
      </c>
      <c r="G53" s="7">
        <f t="shared" si="14"/>
        <v>-1</v>
      </c>
      <c r="H53" s="7">
        <f t="shared" si="15"/>
        <v>-1.83772268236293E-16</v>
      </c>
      <c r="I53" s="7">
        <f t="shared" si="16"/>
        <v>-1</v>
      </c>
      <c r="J53" s="7">
        <f t="shared" si="17"/>
        <v>-1.83772268236293E-16</v>
      </c>
      <c r="K53" s="7">
        <f t="shared" si="18"/>
        <v>-1</v>
      </c>
      <c r="L53" s="7">
        <f t="shared" si="19"/>
        <v>-1.83772268236293E-16</v>
      </c>
      <c r="M53" s="7">
        <f t="shared" si="20"/>
        <v>-1</v>
      </c>
      <c r="N53" s="7">
        <f t="shared" si="21"/>
        <v>-1.83772268236293E-16</v>
      </c>
    </row>
    <row r="54" spans="2:14" x14ac:dyDescent="0.45">
      <c r="B54" s="19">
        <v>49</v>
      </c>
      <c r="C54" s="48">
        <f t="shared" si="10"/>
        <v>-0.99518472667219693</v>
      </c>
      <c r="D54" s="49">
        <f t="shared" si="11"/>
        <v>9.801714032956009E-2</v>
      </c>
      <c r="E54" s="5">
        <f t="shared" si="12"/>
        <v>-0.99518472667219693</v>
      </c>
      <c r="F54" s="7">
        <f t="shared" si="13"/>
        <v>9.801714032956009E-2</v>
      </c>
      <c r="G54" s="7">
        <f t="shared" si="14"/>
        <v>-0.99518472667219693</v>
      </c>
      <c r="H54" s="7">
        <f t="shared" si="15"/>
        <v>9.801714032956009E-2</v>
      </c>
      <c r="I54" s="7">
        <f t="shared" si="16"/>
        <v>-0.99518472667219693</v>
      </c>
      <c r="J54" s="7">
        <f t="shared" si="17"/>
        <v>9.801714032956009E-2</v>
      </c>
      <c r="K54" s="7">
        <f t="shared" si="18"/>
        <v>-0.99518472667219693</v>
      </c>
      <c r="L54" s="7">
        <f t="shared" si="19"/>
        <v>9.801714032956009E-2</v>
      </c>
      <c r="M54" s="7">
        <f t="shared" si="20"/>
        <v>-0.99518472667219693</v>
      </c>
      <c r="N54" s="7">
        <f t="shared" si="21"/>
        <v>9.801714032956009E-2</v>
      </c>
    </row>
    <row r="55" spans="2:14" x14ac:dyDescent="0.45">
      <c r="B55" s="19">
        <v>50</v>
      </c>
      <c r="C55" s="48">
        <f t="shared" si="10"/>
        <v>-0.98078528040323043</v>
      </c>
      <c r="D55" s="49">
        <f t="shared" si="11"/>
        <v>0.1950903220161283</v>
      </c>
      <c r="E55" s="5">
        <f t="shared" si="12"/>
        <v>-0.98078528040323043</v>
      </c>
      <c r="F55" s="7">
        <f t="shared" si="13"/>
        <v>0.1950903220161283</v>
      </c>
      <c r="G55" s="7">
        <f t="shared" si="14"/>
        <v>-0.98078528040323043</v>
      </c>
      <c r="H55" s="7">
        <f t="shared" si="15"/>
        <v>0.1950903220161283</v>
      </c>
      <c r="I55" s="7">
        <f t="shared" si="16"/>
        <v>-0.98078528040323043</v>
      </c>
      <c r="J55" s="7">
        <f t="shared" si="17"/>
        <v>0.1950903220161283</v>
      </c>
      <c r="K55" s="7">
        <f t="shared" si="18"/>
        <v>-0.98078528040323043</v>
      </c>
      <c r="L55" s="7">
        <f t="shared" si="19"/>
        <v>0.1950903220161283</v>
      </c>
      <c r="M55" s="7">
        <f t="shared" si="20"/>
        <v>-0.98078528040323043</v>
      </c>
      <c r="N55" s="7">
        <f t="shared" si="21"/>
        <v>0.1950903220161283</v>
      </c>
    </row>
    <row r="56" spans="2:14" x14ac:dyDescent="0.45">
      <c r="B56" s="19">
        <v>51</v>
      </c>
      <c r="C56" s="48">
        <f t="shared" si="10"/>
        <v>-0.95694033573220894</v>
      </c>
      <c r="D56" s="49">
        <f t="shared" si="11"/>
        <v>0.29028467725446205</v>
      </c>
      <c r="E56" s="5">
        <f t="shared" si="12"/>
        <v>-0.95694033573220894</v>
      </c>
      <c r="F56" s="7">
        <f t="shared" si="13"/>
        <v>0.29028467725446205</v>
      </c>
      <c r="G56" s="7">
        <f t="shared" si="14"/>
        <v>-0.95694033573220894</v>
      </c>
      <c r="H56" s="7">
        <f t="shared" si="15"/>
        <v>0.29028467725446205</v>
      </c>
      <c r="I56" s="7">
        <f t="shared" si="16"/>
        <v>-0.95694033573220894</v>
      </c>
      <c r="J56" s="7">
        <f t="shared" si="17"/>
        <v>0.29028467725446205</v>
      </c>
      <c r="K56" s="7">
        <f t="shared" si="18"/>
        <v>-0.95694033573220894</v>
      </c>
      <c r="L56" s="7">
        <f t="shared" si="19"/>
        <v>0.29028467725446205</v>
      </c>
      <c r="M56" s="7">
        <f t="shared" si="20"/>
        <v>-0.95694033573220894</v>
      </c>
      <c r="N56" s="7">
        <f t="shared" si="21"/>
        <v>0.29028467725446205</v>
      </c>
    </row>
    <row r="57" spans="2:14" x14ac:dyDescent="0.45">
      <c r="B57" s="19">
        <v>52</v>
      </c>
      <c r="C57" s="48">
        <f t="shared" si="10"/>
        <v>-0.92387953251128663</v>
      </c>
      <c r="D57" s="49">
        <f t="shared" si="11"/>
        <v>0.38268343236509</v>
      </c>
      <c r="E57" s="5">
        <f t="shared" si="12"/>
        <v>-0.92387953251128663</v>
      </c>
      <c r="F57" s="7">
        <f t="shared" si="13"/>
        <v>0.38268343236509</v>
      </c>
      <c r="G57" s="7">
        <f t="shared" si="14"/>
        <v>-0.92387953251128663</v>
      </c>
      <c r="H57" s="7">
        <f t="shared" si="15"/>
        <v>0.38268343236509</v>
      </c>
      <c r="I57" s="7">
        <f t="shared" si="16"/>
        <v>-0.92387953251128663</v>
      </c>
      <c r="J57" s="7">
        <f t="shared" si="17"/>
        <v>0.38268343236509</v>
      </c>
      <c r="K57" s="7">
        <f t="shared" si="18"/>
        <v>-0.92387953251128663</v>
      </c>
      <c r="L57" s="7">
        <f t="shared" si="19"/>
        <v>0.38268343236509</v>
      </c>
      <c r="M57" s="7">
        <f t="shared" si="20"/>
        <v>-0.92387953251128663</v>
      </c>
      <c r="N57" s="7">
        <f t="shared" si="21"/>
        <v>0.38268343236509</v>
      </c>
    </row>
    <row r="58" spans="2:14" x14ac:dyDescent="0.45">
      <c r="B58" s="19">
        <v>53</v>
      </c>
      <c r="C58" s="48">
        <f t="shared" si="10"/>
        <v>-0.88192126434835505</v>
      </c>
      <c r="D58" s="49">
        <f t="shared" si="11"/>
        <v>0.47139673682599759</v>
      </c>
      <c r="E58" s="5">
        <f t="shared" si="12"/>
        <v>-0.88192126434835505</v>
      </c>
      <c r="F58" s="7">
        <f t="shared" si="13"/>
        <v>0.47139673682599759</v>
      </c>
      <c r="G58" s="7">
        <f t="shared" si="14"/>
        <v>-0.88192126434835505</v>
      </c>
      <c r="H58" s="7">
        <f t="shared" si="15"/>
        <v>0.47139673682599759</v>
      </c>
      <c r="I58" s="7">
        <f t="shared" si="16"/>
        <v>-0.88192126434835505</v>
      </c>
      <c r="J58" s="7">
        <f t="shared" si="17"/>
        <v>0.47139673682599759</v>
      </c>
      <c r="K58" s="7">
        <f t="shared" si="18"/>
        <v>-0.88192126434835505</v>
      </c>
      <c r="L58" s="7">
        <f t="shared" si="19"/>
        <v>0.47139673682599759</v>
      </c>
      <c r="M58" s="7">
        <f t="shared" si="20"/>
        <v>-0.88192126434835505</v>
      </c>
      <c r="N58" s="7">
        <f t="shared" si="21"/>
        <v>0.47139673682599759</v>
      </c>
    </row>
    <row r="59" spans="2:14" x14ac:dyDescent="0.45">
      <c r="B59" s="19">
        <v>54</v>
      </c>
      <c r="C59" s="48">
        <f t="shared" si="10"/>
        <v>-0.83146961230254546</v>
      </c>
      <c r="D59" s="49">
        <f t="shared" si="11"/>
        <v>0.55557023301960184</v>
      </c>
      <c r="E59" s="5">
        <f t="shared" si="12"/>
        <v>-0.83146961230254546</v>
      </c>
      <c r="F59" s="7">
        <f t="shared" si="13"/>
        <v>0.55557023301960184</v>
      </c>
      <c r="G59" s="7">
        <f t="shared" si="14"/>
        <v>-0.83146961230254546</v>
      </c>
      <c r="H59" s="7">
        <f t="shared" si="15"/>
        <v>0.55557023301960184</v>
      </c>
      <c r="I59" s="7">
        <f t="shared" si="16"/>
        <v>-0.83146961230254546</v>
      </c>
      <c r="J59" s="7">
        <f t="shared" si="17"/>
        <v>0.55557023301960184</v>
      </c>
      <c r="K59" s="7">
        <f t="shared" si="18"/>
        <v>-0.83146961230254546</v>
      </c>
      <c r="L59" s="7">
        <f t="shared" si="19"/>
        <v>0.55557023301960184</v>
      </c>
      <c r="M59" s="7">
        <f t="shared" si="20"/>
        <v>-0.83146961230254546</v>
      </c>
      <c r="N59" s="7">
        <f t="shared" si="21"/>
        <v>0.55557023301960184</v>
      </c>
    </row>
    <row r="60" spans="2:14" x14ac:dyDescent="0.45">
      <c r="B60" s="19">
        <v>55</v>
      </c>
      <c r="C60" s="48">
        <f t="shared" si="10"/>
        <v>-0.77301045336273688</v>
      </c>
      <c r="D60" s="49">
        <f t="shared" si="11"/>
        <v>0.6343932841636456</v>
      </c>
      <c r="E60" s="5">
        <f t="shared" si="12"/>
        <v>-0.77301045336273688</v>
      </c>
      <c r="F60" s="7">
        <f t="shared" si="13"/>
        <v>0.6343932841636456</v>
      </c>
      <c r="G60" s="7">
        <f t="shared" si="14"/>
        <v>-0.77301045336273688</v>
      </c>
      <c r="H60" s="7">
        <f t="shared" si="15"/>
        <v>0.6343932841636456</v>
      </c>
      <c r="I60" s="7">
        <f t="shared" si="16"/>
        <v>-0.77301045336273688</v>
      </c>
      <c r="J60" s="7">
        <f t="shared" si="17"/>
        <v>0.6343932841636456</v>
      </c>
      <c r="K60" s="7">
        <f t="shared" si="18"/>
        <v>-0.77301045336273688</v>
      </c>
      <c r="L60" s="7">
        <f t="shared" si="19"/>
        <v>0.6343932841636456</v>
      </c>
      <c r="M60" s="7">
        <f t="shared" si="20"/>
        <v>-0.77301045336273688</v>
      </c>
      <c r="N60" s="7">
        <f t="shared" si="21"/>
        <v>0.6343932841636456</v>
      </c>
    </row>
    <row r="61" spans="2:14" x14ac:dyDescent="0.45">
      <c r="B61" s="19">
        <v>56</v>
      </c>
      <c r="C61" s="48">
        <f t="shared" si="10"/>
        <v>-0.70710678118654768</v>
      </c>
      <c r="D61" s="49">
        <f t="shared" si="11"/>
        <v>0.70710678118654735</v>
      </c>
      <c r="E61" s="5">
        <f t="shared" si="12"/>
        <v>-0.70710678118654768</v>
      </c>
      <c r="F61" s="7">
        <f t="shared" si="13"/>
        <v>0.70710678118654735</v>
      </c>
      <c r="G61" s="7">
        <f t="shared" si="14"/>
        <v>-0.70710678118654768</v>
      </c>
      <c r="H61" s="7">
        <f t="shared" si="15"/>
        <v>0.70710678118654735</v>
      </c>
      <c r="I61" s="7">
        <f t="shared" si="16"/>
        <v>-0.70710678118654768</v>
      </c>
      <c r="J61" s="7">
        <f t="shared" si="17"/>
        <v>0.70710678118654735</v>
      </c>
      <c r="K61" s="7">
        <f t="shared" si="18"/>
        <v>-0.70710678118654768</v>
      </c>
      <c r="L61" s="7">
        <f t="shared" si="19"/>
        <v>0.70710678118654735</v>
      </c>
      <c r="M61" s="7">
        <f t="shared" si="20"/>
        <v>-0.70710678118654768</v>
      </c>
      <c r="N61" s="7">
        <f t="shared" si="21"/>
        <v>0.70710678118654735</v>
      </c>
    </row>
    <row r="62" spans="2:14" x14ac:dyDescent="0.45">
      <c r="B62" s="19">
        <v>57</v>
      </c>
      <c r="C62" s="48">
        <f t="shared" si="10"/>
        <v>-0.63439328416364593</v>
      </c>
      <c r="D62" s="49">
        <f t="shared" si="11"/>
        <v>0.77301045336273666</v>
      </c>
      <c r="E62" s="5">
        <f t="shared" si="12"/>
        <v>-0.63439328416364593</v>
      </c>
      <c r="F62" s="7">
        <f t="shared" si="13"/>
        <v>0.77301045336273666</v>
      </c>
      <c r="G62" s="7">
        <f t="shared" si="14"/>
        <v>-0.63439328416364593</v>
      </c>
      <c r="H62" s="7">
        <f t="shared" si="15"/>
        <v>0.77301045336273666</v>
      </c>
      <c r="I62" s="7">
        <f t="shared" si="16"/>
        <v>-0.63439328416364593</v>
      </c>
      <c r="J62" s="7">
        <f t="shared" si="17"/>
        <v>0.77301045336273666</v>
      </c>
      <c r="K62" s="7">
        <f t="shared" si="18"/>
        <v>-0.63439328416364593</v>
      </c>
      <c r="L62" s="7">
        <f t="shared" si="19"/>
        <v>0.77301045336273666</v>
      </c>
      <c r="M62" s="7">
        <f t="shared" si="20"/>
        <v>-0.63439328416364593</v>
      </c>
      <c r="N62" s="7">
        <f t="shared" si="21"/>
        <v>0.77301045336273666</v>
      </c>
    </row>
    <row r="63" spans="2:14" x14ac:dyDescent="0.45">
      <c r="B63" s="19">
        <v>58</v>
      </c>
      <c r="C63" s="48">
        <f t="shared" si="10"/>
        <v>-0.55557023301960218</v>
      </c>
      <c r="D63" s="49">
        <f t="shared" si="11"/>
        <v>0.83146961230254524</v>
      </c>
      <c r="E63" s="5">
        <f t="shared" si="12"/>
        <v>-0.55557023301960218</v>
      </c>
      <c r="F63" s="7">
        <f t="shared" si="13"/>
        <v>0.83146961230254524</v>
      </c>
      <c r="G63" s="7">
        <f t="shared" si="14"/>
        <v>-0.55557023301960218</v>
      </c>
      <c r="H63" s="7">
        <f t="shared" si="15"/>
        <v>0.83146961230254524</v>
      </c>
      <c r="I63" s="7">
        <f t="shared" si="16"/>
        <v>-0.55557023301960218</v>
      </c>
      <c r="J63" s="7">
        <f t="shared" si="17"/>
        <v>0.83146961230254524</v>
      </c>
      <c r="K63" s="7">
        <f t="shared" si="18"/>
        <v>-0.55557023301960218</v>
      </c>
      <c r="L63" s="7">
        <f t="shared" si="19"/>
        <v>0.83146961230254524</v>
      </c>
      <c r="M63" s="7">
        <f t="shared" si="20"/>
        <v>-0.55557023301960218</v>
      </c>
      <c r="N63" s="7">
        <f t="shared" si="21"/>
        <v>0.83146961230254524</v>
      </c>
    </row>
    <row r="64" spans="2:14" x14ac:dyDescent="0.45">
      <c r="B64" s="19">
        <v>59</v>
      </c>
      <c r="C64" s="48">
        <f t="shared" si="10"/>
        <v>-0.47139673682599792</v>
      </c>
      <c r="D64" s="49">
        <f t="shared" si="11"/>
        <v>0.88192126434835483</v>
      </c>
      <c r="E64" s="5">
        <f t="shared" si="12"/>
        <v>-0.47139673682599792</v>
      </c>
      <c r="F64" s="7">
        <f t="shared" si="13"/>
        <v>0.88192126434835483</v>
      </c>
      <c r="G64" s="7">
        <f t="shared" si="14"/>
        <v>-0.47139673682599792</v>
      </c>
      <c r="H64" s="7">
        <f t="shared" si="15"/>
        <v>0.88192126434835483</v>
      </c>
      <c r="I64" s="7">
        <f t="shared" si="16"/>
        <v>-0.47139673682599792</v>
      </c>
      <c r="J64" s="7">
        <f t="shared" si="17"/>
        <v>0.88192126434835483</v>
      </c>
      <c r="K64" s="7">
        <f t="shared" si="18"/>
        <v>-0.47139673682599792</v>
      </c>
      <c r="L64" s="7">
        <f t="shared" si="19"/>
        <v>0.88192126434835483</v>
      </c>
      <c r="M64" s="7">
        <f t="shared" si="20"/>
        <v>-0.47139673682599792</v>
      </c>
      <c r="N64" s="7">
        <f t="shared" si="21"/>
        <v>0.88192126434835483</v>
      </c>
    </row>
    <row r="65" spans="2:14" x14ac:dyDescent="0.45">
      <c r="B65" s="19">
        <v>60</v>
      </c>
      <c r="C65" s="48">
        <f t="shared" si="10"/>
        <v>-0.38268343236509039</v>
      </c>
      <c r="D65" s="49">
        <f t="shared" si="11"/>
        <v>0.92387953251128652</v>
      </c>
      <c r="E65" s="5">
        <f t="shared" si="12"/>
        <v>-0.38268343236509039</v>
      </c>
      <c r="F65" s="7">
        <f t="shared" si="13"/>
        <v>0.92387953251128652</v>
      </c>
      <c r="G65" s="7">
        <f t="shared" si="14"/>
        <v>-0.38268343236509039</v>
      </c>
      <c r="H65" s="7">
        <f t="shared" si="15"/>
        <v>0.92387953251128652</v>
      </c>
      <c r="I65" s="7">
        <f t="shared" si="16"/>
        <v>-0.38268343236509039</v>
      </c>
      <c r="J65" s="7">
        <f t="shared" si="17"/>
        <v>0.92387953251128652</v>
      </c>
      <c r="K65" s="7">
        <f t="shared" si="18"/>
        <v>-0.38268343236509039</v>
      </c>
      <c r="L65" s="7">
        <f t="shared" si="19"/>
        <v>0.92387953251128652</v>
      </c>
      <c r="M65" s="7">
        <f t="shared" si="20"/>
        <v>-0.38268343236509039</v>
      </c>
      <c r="N65" s="7">
        <f t="shared" si="21"/>
        <v>0.92387953251128652</v>
      </c>
    </row>
    <row r="66" spans="2:14" x14ac:dyDescent="0.45">
      <c r="B66" s="19">
        <v>61</v>
      </c>
      <c r="C66" s="48">
        <f t="shared" si="10"/>
        <v>-0.2902846772544625</v>
      </c>
      <c r="D66" s="49">
        <f t="shared" si="11"/>
        <v>0.95694033573220882</v>
      </c>
      <c r="E66" s="5">
        <f t="shared" si="12"/>
        <v>-0.2902846772544625</v>
      </c>
      <c r="F66" s="7">
        <f t="shared" si="13"/>
        <v>0.95694033573220882</v>
      </c>
      <c r="G66" s="7">
        <f t="shared" si="14"/>
        <v>-0.2902846772544625</v>
      </c>
      <c r="H66" s="7">
        <f t="shared" si="15"/>
        <v>0.95694033573220882</v>
      </c>
      <c r="I66" s="7">
        <f t="shared" si="16"/>
        <v>-0.2902846772544625</v>
      </c>
      <c r="J66" s="7">
        <f t="shared" si="17"/>
        <v>0.95694033573220882</v>
      </c>
      <c r="K66" s="7">
        <f t="shared" si="18"/>
        <v>-0.2902846772544625</v>
      </c>
      <c r="L66" s="7">
        <f t="shared" si="19"/>
        <v>0.95694033573220882</v>
      </c>
      <c r="M66" s="7">
        <f t="shared" si="20"/>
        <v>-0.2902846772544625</v>
      </c>
      <c r="N66" s="7">
        <f t="shared" si="21"/>
        <v>0.95694033573220882</v>
      </c>
    </row>
    <row r="67" spans="2:14" x14ac:dyDescent="0.45">
      <c r="B67" s="19">
        <v>62</v>
      </c>
      <c r="C67" s="48">
        <f t="shared" si="10"/>
        <v>-0.19509032201612872</v>
      </c>
      <c r="D67" s="49">
        <f t="shared" si="11"/>
        <v>0.98078528040323032</v>
      </c>
      <c r="E67" s="5">
        <f t="shared" si="12"/>
        <v>-0.19509032201612872</v>
      </c>
      <c r="F67" s="7">
        <f t="shared" si="13"/>
        <v>0.98078528040323032</v>
      </c>
      <c r="G67" s="7">
        <f t="shared" si="14"/>
        <v>-0.19509032201612872</v>
      </c>
      <c r="H67" s="7">
        <f t="shared" si="15"/>
        <v>0.98078528040323032</v>
      </c>
      <c r="I67" s="7">
        <f t="shared" si="16"/>
        <v>-0.19509032201612872</v>
      </c>
      <c r="J67" s="7">
        <f t="shared" si="17"/>
        <v>0.98078528040323032</v>
      </c>
      <c r="K67" s="7">
        <f t="shared" si="18"/>
        <v>-0.19509032201612872</v>
      </c>
      <c r="L67" s="7">
        <f t="shared" si="19"/>
        <v>0.98078528040323032</v>
      </c>
      <c r="M67" s="7">
        <f t="shared" si="20"/>
        <v>-0.19509032201612872</v>
      </c>
      <c r="N67" s="7">
        <f t="shared" si="21"/>
        <v>0.98078528040323032</v>
      </c>
    </row>
    <row r="68" spans="2:14" x14ac:dyDescent="0.45">
      <c r="B68" s="19">
        <v>63</v>
      </c>
      <c r="C68" s="48">
        <f t="shared" si="10"/>
        <v>-9.8017140329560506E-2</v>
      </c>
      <c r="D68" s="49">
        <f t="shared" si="11"/>
        <v>0.99518472667219693</v>
      </c>
      <c r="E68" s="5">
        <f t="shared" si="12"/>
        <v>-9.8017140329560506E-2</v>
      </c>
      <c r="F68" s="7">
        <f t="shared" si="13"/>
        <v>0.99518472667219693</v>
      </c>
      <c r="G68" s="7">
        <f t="shared" si="14"/>
        <v>-9.8017140329560506E-2</v>
      </c>
      <c r="H68" s="7">
        <f t="shared" si="15"/>
        <v>0.99518472667219693</v>
      </c>
      <c r="I68" s="7">
        <f t="shared" si="16"/>
        <v>-9.8017140329560506E-2</v>
      </c>
      <c r="J68" s="7">
        <f t="shared" si="17"/>
        <v>0.99518472667219693</v>
      </c>
      <c r="K68" s="7">
        <f t="shared" si="18"/>
        <v>-9.8017140329560506E-2</v>
      </c>
      <c r="L68" s="7">
        <f t="shared" si="19"/>
        <v>0.99518472667219693</v>
      </c>
      <c r="M68" s="7">
        <f t="shared" si="20"/>
        <v>-9.8017140329560506E-2</v>
      </c>
      <c r="N68" s="7">
        <f t="shared" si="21"/>
        <v>0.99518472667219693</v>
      </c>
    </row>
    <row r="69" spans="2:14" ht="18.600000000000001" thickBot="1" x14ac:dyDescent="0.5">
      <c r="B69" s="20">
        <v>64</v>
      </c>
      <c r="C69" s="50">
        <f t="shared" si="10"/>
        <v>-2.45029690981724E-16</v>
      </c>
      <c r="D69" s="51">
        <f t="shared" si="11"/>
        <v>1</v>
      </c>
      <c r="E69" s="8">
        <f t="shared" si="12"/>
        <v>-2.45029690981724E-16</v>
      </c>
      <c r="F69" s="10">
        <f t="shared" si="13"/>
        <v>1</v>
      </c>
      <c r="G69" s="10">
        <f t="shared" si="14"/>
        <v>-2.45029690981724E-16</v>
      </c>
      <c r="H69" s="10">
        <f t="shared" si="15"/>
        <v>1</v>
      </c>
      <c r="I69" s="10">
        <f t="shared" si="16"/>
        <v>-2.45029690981724E-16</v>
      </c>
      <c r="J69" s="10">
        <f t="shared" si="17"/>
        <v>1</v>
      </c>
      <c r="K69" s="10">
        <f t="shared" si="18"/>
        <v>-2.45029690981724E-16</v>
      </c>
      <c r="L69" s="10">
        <f t="shared" si="19"/>
        <v>1</v>
      </c>
      <c r="M69" s="10">
        <f t="shared" si="20"/>
        <v>-2.45029690981724E-16</v>
      </c>
      <c r="N69" s="10">
        <f t="shared" si="21"/>
        <v>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演習問題１（データを描く）</vt:lpstr>
      <vt:lpstr>【解答】演習問題１（データを描く）</vt:lpstr>
      <vt:lpstr>演習問題２（sin, cos）</vt:lpstr>
      <vt:lpstr>演習問題３（正多角形を描く）</vt:lpstr>
      <vt:lpstr>【解答】演習問題３（正多角形を描く）</vt:lpstr>
      <vt:lpstr>演習問題４（円に近づける）</vt:lpstr>
      <vt:lpstr>【解答】演習問題４（円に近づける）</vt:lpstr>
      <vt:lpstr>演習問題５（ストリングアート）</vt:lpstr>
      <vt:lpstr>【解答】演習問題５（ストリングアート）</vt:lpstr>
      <vt:lpstr>付録（素数曼荼羅）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2020-05-20T05:37:56Z</dcterms:created>
  <dcterms:modified xsi:type="dcterms:W3CDTF">2020-06-24T08:20:49Z</dcterms:modified>
</cp:coreProperties>
</file>